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Dataset" sheetId="1" state="visible" r:id="rId3"/>
    <sheet name="Validations" sheetId="2" state="visible" r:id="rId4"/>
    <sheet name="Advanced Filter" sheetId="3" state="visible" r:id="rId5"/>
    <sheet name="Advanced Sorting" sheetId="4" state="visible" r:id="rId6"/>
    <sheet name="Hyper Data Linking" sheetId="5" state="visible" r:id="rId7"/>
    <sheet name="Math Trig Functions" sheetId="6" state="visible" r:id="rId8"/>
    <sheet name="Extr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<sst xmlns="http://schemas.openxmlformats.org/spreadsheetml/2006/main" count="787" uniqueCount="219">
  <si>
    <t xml:space="preserve">Software Bug Tracker – QA Training Dataset</t>
  </si>
  <si>
    <t xml:space="preserve">Bug ID</t>
  </si>
  <si>
    <t xml:space="preserve">Module</t>
  </si>
  <si>
    <t xml:space="preserve">Tester</t>
  </si>
  <si>
    <t xml:space="preserve">Priority</t>
  </si>
  <si>
    <t xml:space="preserve">Status</t>
  </si>
  <si>
    <t xml:space="preserve">Reported Date</t>
  </si>
  <si>
    <t xml:space="preserve">Resolved Date</t>
  </si>
  <si>
    <t xml:space="preserve">Days Open</t>
  </si>
  <si>
    <t xml:space="preserve">Test Cases Run</t>
  </si>
  <si>
    <t xml:space="preserve">Test Cases Passed</t>
  </si>
  <si>
    <t xml:space="preserve">Test Cases Failed</t>
  </si>
  <si>
    <t xml:space="preserve">Remarks</t>
  </si>
  <si>
    <t xml:space="preserve">BUG001</t>
  </si>
  <si>
    <t xml:space="preserve">Login</t>
  </si>
  <si>
    <t xml:space="preserve">Alice</t>
  </si>
  <si>
    <t xml:space="preserve">High</t>
  </si>
  <si>
    <t xml:space="preserve">Open</t>
  </si>
  <si>
    <t xml:space="preserve">2024-01-05</t>
  </si>
  <si>
    <t xml:space="preserve">10</t>
  </si>
  <si>
    <t xml:space="preserve">8</t>
  </si>
  <si>
    <t xml:space="preserve">2</t>
  </si>
  <si>
    <t xml:space="preserve">Blocking issue</t>
  </si>
  <si>
    <t xml:space="preserve">BUG002</t>
  </si>
  <si>
    <t xml:space="preserve">Dashboard</t>
  </si>
  <si>
    <t xml:space="preserve">Bob</t>
  </si>
  <si>
    <t xml:space="preserve">Medium</t>
  </si>
  <si>
    <t xml:space="preserve">Closed</t>
  </si>
  <si>
    <t xml:space="preserve">2024-01-06</t>
  </si>
  <si>
    <t xml:space="preserve">2024-01-10</t>
  </si>
  <si>
    <t xml:space="preserve">20</t>
  </si>
  <si>
    <t xml:space="preserve">18</t>
  </si>
  <si>
    <t xml:space="preserve">UI glitch</t>
  </si>
  <si>
    <t xml:space="preserve">BUG003</t>
  </si>
  <si>
    <t xml:space="preserve">Reports</t>
  </si>
  <si>
    <t xml:space="preserve">Low</t>
  </si>
  <si>
    <t xml:space="preserve">2024-01-07</t>
  </si>
  <si>
    <t xml:space="preserve">15</t>
  </si>
  <si>
    <t xml:space="preserve">0</t>
  </si>
  <si>
    <t xml:space="preserve">Minor</t>
  </si>
  <si>
    <t xml:space="preserve">BUG004</t>
  </si>
  <si>
    <t xml:space="preserve">Charlie</t>
  </si>
  <si>
    <t xml:space="preserve">2024-01-08</t>
  </si>
  <si>
    <t xml:space="preserve">2024-01-09</t>
  </si>
  <si>
    <t xml:space="preserve">12</t>
  </si>
  <si>
    <t xml:space="preserve">Auth fail</t>
  </si>
  <si>
    <t xml:space="preserve">BUG005</t>
  </si>
  <si>
    <t xml:space="preserve">Payments</t>
  </si>
  <si>
    <t xml:space="preserve">Critical</t>
  </si>
  <si>
    <t xml:space="preserve">5</t>
  </si>
  <si>
    <t xml:space="preserve">3</t>
  </si>
  <si>
    <t xml:space="preserve">Data loss risk</t>
  </si>
  <si>
    <t xml:space="preserve">BUG006</t>
  </si>
  <si>
    <t xml:space="preserve">2024-01-11</t>
  </si>
  <si>
    <t xml:space="preserve">2024-01-15</t>
  </si>
  <si>
    <t xml:space="preserve">16</t>
  </si>
  <si>
    <t xml:space="preserve">Layout break</t>
  </si>
  <si>
    <t xml:space="preserve">BUG007</t>
  </si>
  <si>
    <t xml:space="preserve">2024-01-12</t>
  </si>
  <si>
    <t xml:space="preserve">22</t>
  </si>
  <si>
    <t xml:space="preserve">Export issue</t>
  </si>
  <si>
    <t xml:space="preserve">BUG008</t>
  </si>
  <si>
    <t xml:space="preserve">2024-01-13</t>
  </si>
  <si>
    <t xml:space="preserve">2024-01-14</t>
  </si>
  <si>
    <t xml:space="preserve">9</t>
  </si>
  <si>
    <t xml:space="preserve">7</t>
  </si>
  <si>
    <t xml:space="preserve">Security patch</t>
  </si>
  <si>
    <t xml:space="preserve">BUG009</t>
  </si>
  <si>
    <t xml:space="preserve">11</t>
  </si>
  <si>
    <t xml:space="preserve">Session bug</t>
  </si>
  <si>
    <t xml:space="preserve">BUG010</t>
  </si>
  <si>
    <t xml:space="preserve">2024-01-16</t>
  </si>
  <si>
    <t xml:space="preserve">2024-01-20</t>
  </si>
  <si>
    <t xml:space="preserve">14</t>
  </si>
  <si>
    <t xml:space="preserve">Chart error</t>
  </si>
  <si>
    <t xml:space="preserve">BUG011</t>
  </si>
  <si>
    <t xml:space="preserve">2024-01-17</t>
  </si>
  <si>
    <t xml:space="preserve">2024-01-22</t>
  </si>
  <si>
    <t xml:space="preserve">Fixed</t>
  </si>
  <si>
    <t xml:space="preserve">BUG012</t>
  </si>
  <si>
    <t xml:space="preserve">2024-01-18</t>
  </si>
  <si>
    <t xml:space="preserve">4</t>
  </si>
  <si>
    <t xml:space="preserve">Payment fail</t>
  </si>
  <si>
    <t xml:space="preserve">BUG013</t>
  </si>
  <si>
    <t xml:space="preserve">2024-01-19</t>
  </si>
  <si>
    <t xml:space="preserve">2024-01-21</t>
  </si>
  <si>
    <t xml:space="preserve">13</t>
  </si>
  <si>
    <t xml:space="preserve">OTP bug</t>
  </si>
  <si>
    <t xml:space="preserve">BUG014</t>
  </si>
  <si>
    <t xml:space="preserve">17</t>
  </si>
  <si>
    <t xml:space="preserve">Render issue</t>
  </si>
  <si>
    <t xml:space="preserve">BUG015</t>
  </si>
  <si>
    <t xml:space="preserve">21</t>
  </si>
  <si>
    <t xml:space="preserve">19</t>
  </si>
  <si>
    <t xml:space="preserve">PDF export</t>
  </si>
  <si>
    <t xml:space="preserve">BUG016</t>
  </si>
  <si>
    <t xml:space="preserve">2024-01-25</t>
  </si>
  <si>
    <t xml:space="preserve">6</t>
  </si>
  <si>
    <t xml:space="preserve">1</t>
  </si>
  <si>
    <t xml:space="preserve">Gateway fix</t>
  </si>
  <si>
    <t xml:space="preserve">BUG017</t>
  </si>
  <si>
    <t xml:space="preserve">2024-01-23</t>
  </si>
  <si>
    <t xml:space="preserve">Timeout</t>
  </si>
  <si>
    <t xml:space="preserve">BUG018</t>
  </si>
  <si>
    <t xml:space="preserve">2024-01-24</t>
  </si>
  <si>
    <t xml:space="preserve">2024-01-28</t>
  </si>
  <si>
    <t xml:space="preserve">UI</t>
  </si>
  <si>
    <t xml:space="preserve">BUG019</t>
  </si>
  <si>
    <t xml:space="preserve">2024-01-29</t>
  </si>
  <si>
    <t xml:space="preserve">Resolved</t>
  </si>
  <si>
    <t xml:space="preserve">BUG020</t>
  </si>
  <si>
    <t xml:space="preserve">2024-01-26</t>
  </si>
  <si>
    <t xml:space="preserve">Amount mismatch</t>
  </si>
  <si>
    <t xml:space="preserve">Validations – Drop-Down, Error Alerts &amp; Conditional Formatting</t>
  </si>
  <si>
    <t xml:space="preserve">Pass %</t>
  </si>
  <si>
    <t xml:space="preserve">Advanced Filter – Criteria &amp; Results</t>
  </si>
  <si>
    <t xml:space="preserve">▶ Criteria Area (Advanced Filter – filter Critical + Open bugs)</t>
  </si>
  <si>
    <t xml:space="preserve">▶ Formula Criteria: Days Open &gt; 10  (use =H3&gt;10 in criteria)</t>
  </si>
  <si>
    <t xml:space="preserve">Days Open &gt;10</t>
  </si>
  <si>
    <t xml:space="preserve">▶ Extracted Results (Priority = Critical AND Status = Open)</t>
  </si>
  <si>
    <t xml:space="preserve">Note: In Excel, use Data → Advanced → Copy to another location, with the criteria range A26:B27, to regenerate this extract automatically.</t>
  </si>
  <si>
    <t xml:space="preserve">Advanced Sorting – Custom Lists &amp; Multi-Level Sort</t>
  </si>
  <si>
    <t xml:space="preserve">Sort Order (Priority)</t>
  </si>
  <si>
    <t xml:space="preserve">Custom Sort Explanation</t>
  </si>
  <si>
    <t xml:space="preserve">Data sorted: Critical→High→Medium→Low, then A→Z by Module</t>
  </si>
  <si>
    <t xml:space="preserve">Custom List Order used: Critical &gt; High &gt; Medium &gt; Low</t>
  </si>
  <si>
    <t xml:space="preserve">Steps: Data → Sort → Add Level → Sort by Priority → Order: Custom List</t>
  </si>
  <si>
    <t xml:space="preserve">Hyper / Data Linking – Within Sheet, Between Sheets &amp; External</t>
  </si>
  <si>
    <t xml:space="preserve">Type</t>
  </si>
  <si>
    <t xml:space="preserve">Link / Formula</t>
  </si>
  <si>
    <t xml:space="preserve">Value Pulled</t>
  </si>
  <si>
    <t xml:space="preserve">Notes</t>
  </si>
  <si>
    <t xml:space="preserve">Within-Sheet Hyperlink</t>
  </si>
  <si>
    <t xml:space="preserve">Click to navigate</t>
  </si>
  <si>
    <t xml:space="preserve">Navigates within same sheet</t>
  </si>
  <si>
    <t xml:space="preserve">External Link Example</t>
  </si>
  <si>
    <t xml:space="preserve">Click link</t>
  </si>
  <si>
    <t xml:space="preserve">Links to external website</t>
  </si>
  <si>
    <t xml:space="preserve">Between-Sheets Hyperlink</t>
  </si>
  <si>
    <t xml:space="preserve">Navigates to a different sheet</t>
  </si>
  <si>
    <t xml:space="preserve">Cross-Sheet Data Pull</t>
  </si>
  <si>
    <t xml:space="preserve">Live value from Dataset</t>
  </si>
  <si>
    <t xml:space="preserve">Updates automatically if Dataset changes</t>
  </si>
  <si>
    <t xml:space="preserve">Email Link</t>
  </si>
  <si>
    <t xml:space="preserve">Click to email</t>
  </si>
  <si>
    <t xml:space="preserve">Opens default mail client</t>
  </si>
  <si>
    <t xml:space="preserve">← Hyperlink lands here (Row 20)</t>
  </si>
  <si>
    <t xml:space="preserve">Math &amp; Trig Functions – SUMPRODUCT, FLOOR, CEILING, MROUND, MOD, QUOTIENT</t>
  </si>
  <si>
    <t xml:space="preserve">Function</t>
  </si>
  <si>
    <t xml:space="preserve">Formula Used</t>
  </si>
  <si>
    <t xml:space="preserve">Result</t>
  </si>
  <si>
    <t xml:space="preserve">Description</t>
  </si>
  <si>
    <t xml:space="preserve">Example Value</t>
  </si>
  <si>
    <t xml:space="preserve">SUMPRODUCT</t>
  </si>
  <si>
    <t xml:space="preserve">Weighted avg pass rate across all bugs</t>
  </si>
  <si>
    <t xml:space="preserve">SUM</t>
  </si>
  <si>
    <t xml:space="preserve">Total test cases run</t>
  </si>
  <si>
    <t xml:space="preserve">FLOOR</t>
  </si>
  <si>
    <t xml:space="preserve">Round DOWN to nearest 5</t>
  </si>
  <si>
    <t xml:space="preserve">87.6</t>
  </si>
  <si>
    <t xml:space="preserve">CEILING</t>
  </si>
  <si>
    <t xml:space="preserve">Round UP to nearest 5</t>
  </si>
  <si>
    <t xml:space="preserve">MROUND</t>
  </si>
  <si>
    <t xml:space="preserve">Round to nearest multiple of 5</t>
  </si>
  <si>
    <t xml:space="preserve">MOD</t>
  </si>
  <si>
    <t xml:space="preserve">Remainder of 22÷5</t>
  </si>
  <si>
    <t xml:space="preserve">QUOTIENT</t>
  </si>
  <si>
    <t xml:space="preserve">Integer part of 22÷5</t>
  </si>
  <si>
    <t xml:space="preserve">MOD (Bug Check)</t>
  </si>
  <si>
    <t xml:space="preserve">Odd/Even row check (used in alt-row formatting)</t>
  </si>
  <si>
    <t xml:space="preserve">SUMPRODUCT (Critical bugs score)</t>
  </si>
  <si>
    <t xml:space="preserve">Total failed TCs for Critical bugs</t>
  </si>
  <si>
    <t xml:space="preserve">Extra Topics – Errors, CONCATENATE, Text to Columns, VBA, Gridlines, Chart</t>
  </si>
  <si>
    <t xml:space="preserve">A. Common Excel Errors</t>
  </si>
  <si>
    <t xml:space="preserve">Error</t>
  </si>
  <si>
    <t xml:space="preserve">Trigger Formula (Demo)</t>
  </si>
  <si>
    <t xml:space="preserve">What It Means</t>
  </si>
  <si>
    <t xml:space="preserve">How to Fix</t>
  </si>
  <si>
    <t xml:space="preserve">DIV/0 error</t>
  </si>
  <si>
    <t xml:space="preserve">=1/0 causes this</t>
  </si>
  <si>
    <t xml:space="preserve">Fix: =IFERROR(1/0,0)</t>
  </si>
  <si>
    <t xml:space="preserve">Division by zero</t>
  </si>
  <si>
    <t xml:space="preserve">NULL error</t>
  </si>
  <si>
    <t xml:space="preserve">=SUM(A1 B1) causes this</t>
  </si>
  <si>
    <t xml:space="preserve">Fix: =SUM(A1,B1)</t>
  </si>
  <si>
    <t xml:space="preserve">Bad range operator</t>
  </si>
  <si>
    <t xml:space="preserve">N/A error</t>
  </si>
  <si>
    <t xml:space="preserve">VLOOKUP no match causes this</t>
  </si>
  <si>
    <t xml:space="preserve">Fix: wrap with IFERROR</t>
  </si>
  <si>
    <t xml:space="preserve">Lookup value not found</t>
  </si>
  <si>
    <t xml:space="preserve">#ERR</t>
  </si>
  <si>
    <t xml:space="preserve">Generic syntax error</t>
  </si>
  <si>
    <t xml:space="preserve">Fix: check formula spelling</t>
  </si>
  <si>
    <t xml:space="preserve">Typo in function</t>
  </si>
  <si>
    <t xml:space="preserve">REF error</t>
  </si>
  <si>
    <t xml:space="preserve">Deleting ref cell causes this</t>
  </si>
  <si>
    <t xml:space="preserve">Fix: re-enter valid ref</t>
  </si>
  <si>
    <t xml:space="preserve">Deleted cell reference</t>
  </si>
  <si>
    <t xml:space="preserve">VALUE error</t>
  </si>
  <si>
    <t xml:space="preserve">=1+text causes this</t>
  </si>
  <si>
    <t xml:space="preserve">Fix: ensure numeric input</t>
  </si>
  <si>
    <t xml:space="preserve">Wrong data type</t>
  </si>
  <si>
    <t xml:space="preserve">NAME error</t>
  </si>
  <si>
    <t xml:space="preserve">=SUMO(A1) typo causes this</t>
  </si>
  <si>
    <t xml:space="preserve">Fix: =SUM(A1)</t>
  </si>
  <si>
    <t xml:space="preserve">Unrecognised function</t>
  </si>
  <si>
    <t xml:space="preserve">B. CONCATENATE / CONCAT / &amp; Operator</t>
  </si>
  <si>
    <t xml:space="preserve">Concatenated Label</t>
  </si>
  <si>
    <t xml:space="preserve">C. Text to Columns (Delimiter Demo)</t>
  </si>
  <si>
    <t xml:space="preserve">Original Text</t>
  </si>
  <si>
    <t xml:space="preserve">Split Part 1</t>
  </si>
  <si>
    <t xml:space="preserve">Split Part 2</t>
  </si>
  <si>
    <t xml:space="preserve">Split Part 3</t>
  </si>
  <si>
    <t xml:space="preserve">BUG001-Login-High</t>
  </si>
  <si>
    <t xml:space="preserve">Note: Data → Text to Columns (Delimited by "-") performs this split natively without formulas.</t>
  </si>
  <si>
    <t xml:space="preserve">D. Gridlines</t>
  </si>
  <si>
    <t xml:space="preserve">Note: Toggle via View tab → uncheck Gridlines, or Page Layout → Sheet Options → Gridlines → View.</t>
  </si>
  <si>
    <t xml:space="preserve">E. Chart Demo</t>
  </si>
  <si>
    <t xml:space="preserve">Count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</si>
</sst>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4F81BD"/>
      <rgbColor rgb="FF9999FF"/>
      <rgbColor rgb="FFC0504D"/>
      <rgbColor rgb="FFFFF2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Bugs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Extra!B32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Extra!$A$33:$A$36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Extra!$B$33:$B$36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30</xdr:row>
      <xdr:rowOff>0</xdr:rowOff>
    </xdr:from>
    <xdr:to>
      <xdr:col>8</xdr:col>
      <xdr:colOff>465840</xdr:colOff>
      <xdr:row>45</xdr:row>
      <xdr:rowOff>164160</xdr:rowOff>
    </xdr:to>
    <xdr:graphicFrame>
      <xdr:nvGraphicFramePr>
        <xdr:cNvPr id="0" name="Chart 1"/>
        <xdr:cNvGraphicFramePr/>
      </xdr:nvGraphicFramePr>
      <xdr:xfrm>
        <a:off x="5216040" y="5591160"/>
        <a:ext cx="431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7" min="6" style="1" width="14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5"/>
    <col collapsed="false" customWidth="true" hidden="false" outlineLevel="0" max="12" min="12" style="1" width="16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customFormat="false" ht="15" hidden="false" customHeight="tru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/>
      <c r="H3" s="4" t="n">
        <f aca="true">IF(G3&lt;&gt;"",INT(G3-F3),INT(TODAY()-F3))</f>
        <v>896</v>
      </c>
      <c r="I3" s="4" t="s">
        <v>19</v>
      </c>
      <c r="J3" s="4" t="s">
        <v>20</v>
      </c>
      <c r="K3" s="4" t="s">
        <v>21</v>
      </c>
      <c r="L3" s="4" t="s">
        <v>22</v>
      </c>
    </row>
    <row r="4" customFormat="false" ht="15" hidden="false" customHeight="true" outlineLevel="0" collapsed="false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n">
        <f aca="true">IF(G4&lt;&gt;"",INT(G4-F4),INT(TODAY()-F4))</f>
        <v>4</v>
      </c>
      <c r="I4" s="5" t="s">
        <v>30</v>
      </c>
      <c r="J4" s="5" t="s">
        <v>31</v>
      </c>
      <c r="K4" s="5" t="s">
        <v>21</v>
      </c>
      <c r="L4" s="5" t="s">
        <v>32</v>
      </c>
    </row>
    <row r="5" customFormat="false" ht="15" hidden="false" customHeight="true" outlineLevel="0" collapsed="false">
      <c r="A5" s="4" t="s">
        <v>33</v>
      </c>
      <c r="B5" s="4" t="s">
        <v>34</v>
      </c>
      <c r="C5" s="4" t="s">
        <v>15</v>
      </c>
      <c r="D5" s="4" t="s">
        <v>35</v>
      </c>
      <c r="E5" s="4" t="s">
        <v>17</v>
      </c>
      <c r="F5" s="4" t="s">
        <v>36</v>
      </c>
      <c r="G5" s="4"/>
      <c r="H5" s="4" t="n">
        <f aca="true">IF(G5&lt;&gt;"",INT(G5-F5),INT(TODAY()-F5))</f>
        <v>894</v>
      </c>
      <c r="I5" s="4" t="s">
        <v>37</v>
      </c>
      <c r="J5" s="4" t="s">
        <v>37</v>
      </c>
      <c r="K5" s="4" t="s">
        <v>38</v>
      </c>
      <c r="L5" s="4" t="s">
        <v>39</v>
      </c>
    </row>
    <row r="6" customFormat="false" ht="15" hidden="false" customHeight="true" outlineLevel="0" collapsed="false">
      <c r="A6" s="5" t="s">
        <v>40</v>
      </c>
      <c r="B6" s="5" t="s">
        <v>14</v>
      </c>
      <c r="C6" s="5" t="s">
        <v>41</v>
      </c>
      <c r="D6" s="5" t="s">
        <v>16</v>
      </c>
      <c r="E6" s="5" t="s">
        <v>27</v>
      </c>
      <c r="F6" s="5" t="s">
        <v>42</v>
      </c>
      <c r="G6" s="5" t="s">
        <v>43</v>
      </c>
      <c r="H6" s="5" t="n">
        <f aca="true">IF(G6&lt;&gt;"",INT(G6-F6),INT(TODAY()-F6))</f>
        <v>1</v>
      </c>
      <c r="I6" s="5" t="s">
        <v>44</v>
      </c>
      <c r="J6" s="5" t="s">
        <v>19</v>
      </c>
      <c r="K6" s="5" t="s">
        <v>21</v>
      </c>
      <c r="L6" s="5" t="s">
        <v>45</v>
      </c>
    </row>
    <row r="7" customFormat="false" ht="15" hidden="false" customHeight="true" outlineLevel="0" collapsed="false">
      <c r="A7" s="4" t="s">
        <v>46</v>
      </c>
      <c r="B7" s="4" t="s">
        <v>47</v>
      </c>
      <c r="C7" s="4" t="s">
        <v>25</v>
      </c>
      <c r="D7" s="4" t="s">
        <v>48</v>
      </c>
      <c r="E7" s="4" t="s">
        <v>17</v>
      </c>
      <c r="F7" s="4" t="s">
        <v>29</v>
      </c>
      <c r="G7" s="4"/>
      <c r="H7" s="4" t="n">
        <f aca="true">IF(G7&lt;&gt;"",INT(G7-F7),INT(TODAY()-F7))</f>
        <v>891</v>
      </c>
      <c r="I7" s="4" t="s">
        <v>20</v>
      </c>
      <c r="J7" s="4" t="s">
        <v>49</v>
      </c>
      <c r="K7" s="4" t="s">
        <v>50</v>
      </c>
      <c r="L7" s="4" t="s">
        <v>51</v>
      </c>
    </row>
    <row r="8" customFormat="false" ht="15" hidden="false" customHeight="true" outlineLevel="0" collapsed="false">
      <c r="A8" s="5" t="s">
        <v>52</v>
      </c>
      <c r="B8" s="5" t="s">
        <v>24</v>
      </c>
      <c r="C8" s="5" t="s">
        <v>15</v>
      </c>
      <c r="D8" s="5" t="s">
        <v>26</v>
      </c>
      <c r="E8" s="5" t="s">
        <v>27</v>
      </c>
      <c r="F8" s="5" t="s">
        <v>53</v>
      </c>
      <c r="G8" s="5" t="s">
        <v>54</v>
      </c>
      <c r="H8" s="5" t="n">
        <f aca="true">IF(G8&lt;&gt;"",INT(G8-F8),INT(TODAY()-F8))</f>
        <v>4</v>
      </c>
      <c r="I8" s="5" t="s">
        <v>31</v>
      </c>
      <c r="J8" s="5" t="s">
        <v>55</v>
      </c>
      <c r="K8" s="5" t="s">
        <v>21</v>
      </c>
      <c r="L8" s="5" t="s">
        <v>56</v>
      </c>
    </row>
    <row r="9" customFormat="false" ht="15" hidden="false" customHeight="true" outlineLevel="0" collapsed="false">
      <c r="A9" s="4" t="s">
        <v>57</v>
      </c>
      <c r="B9" s="4" t="s">
        <v>34</v>
      </c>
      <c r="C9" s="4" t="s">
        <v>41</v>
      </c>
      <c r="D9" s="4" t="s">
        <v>35</v>
      </c>
      <c r="E9" s="4" t="s">
        <v>17</v>
      </c>
      <c r="F9" s="4" t="s">
        <v>58</v>
      </c>
      <c r="G9" s="4"/>
      <c r="H9" s="4" t="n">
        <f aca="true">IF(G9&lt;&gt;"",INT(G9-F9),INT(TODAY()-F9))</f>
        <v>889</v>
      </c>
      <c r="I9" s="4" t="s">
        <v>59</v>
      </c>
      <c r="J9" s="4" t="s">
        <v>30</v>
      </c>
      <c r="K9" s="4" t="s">
        <v>21</v>
      </c>
      <c r="L9" s="4" t="s">
        <v>60</v>
      </c>
    </row>
    <row r="10" customFormat="false" ht="15" hidden="false" customHeight="true" outlineLevel="0" collapsed="false">
      <c r="A10" s="5" t="s">
        <v>61</v>
      </c>
      <c r="B10" s="5" t="s">
        <v>47</v>
      </c>
      <c r="C10" s="5" t="s">
        <v>15</v>
      </c>
      <c r="D10" s="5" t="s">
        <v>48</v>
      </c>
      <c r="E10" s="5" t="s">
        <v>27</v>
      </c>
      <c r="F10" s="5" t="s">
        <v>62</v>
      </c>
      <c r="G10" s="5" t="s">
        <v>63</v>
      </c>
      <c r="H10" s="5" t="n">
        <f aca="true">IF(G10&lt;&gt;"",INT(G10-F10),INT(TODAY()-F10))</f>
        <v>1</v>
      </c>
      <c r="I10" s="5" t="s">
        <v>64</v>
      </c>
      <c r="J10" s="5" t="s">
        <v>65</v>
      </c>
      <c r="K10" s="5" t="s">
        <v>21</v>
      </c>
      <c r="L10" s="5" t="s">
        <v>66</v>
      </c>
    </row>
    <row r="11" customFormat="false" ht="15" hidden="false" customHeight="true" outlineLevel="0" collapsed="false">
      <c r="A11" s="4" t="s">
        <v>67</v>
      </c>
      <c r="B11" s="4" t="s">
        <v>14</v>
      </c>
      <c r="C11" s="4" t="s">
        <v>25</v>
      </c>
      <c r="D11" s="4" t="s">
        <v>16</v>
      </c>
      <c r="E11" s="4" t="s">
        <v>17</v>
      </c>
      <c r="F11" s="4" t="s">
        <v>54</v>
      </c>
      <c r="G11" s="4"/>
      <c r="H11" s="4" t="n">
        <f aca="true">IF(G11&lt;&gt;"",INT(G11-F11),INT(TODAY()-F11))</f>
        <v>886</v>
      </c>
      <c r="I11" s="4" t="s">
        <v>68</v>
      </c>
      <c r="J11" s="4" t="s">
        <v>64</v>
      </c>
      <c r="K11" s="4" t="s">
        <v>21</v>
      </c>
      <c r="L11" s="4" t="s">
        <v>69</v>
      </c>
    </row>
    <row r="12" customFormat="false" ht="15" hidden="false" customHeight="true" outlineLevel="0" collapsed="false">
      <c r="A12" s="5" t="s">
        <v>70</v>
      </c>
      <c r="B12" s="5" t="s">
        <v>24</v>
      </c>
      <c r="C12" s="5" t="s">
        <v>41</v>
      </c>
      <c r="D12" s="5" t="s">
        <v>26</v>
      </c>
      <c r="E12" s="5" t="s">
        <v>27</v>
      </c>
      <c r="F12" s="5" t="s">
        <v>71</v>
      </c>
      <c r="G12" s="5" t="s">
        <v>72</v>
      </c>
      <c r="H12" s="5" t="n">
        <f aca="true">IF(G12&lt;&gt;"",INT(G12-F12),INT(TODAY()-F12))</f>
        <v>4</v>
      </c>
      <c r="I12" s="5" t="s">
        <v>55</v>
      </c>
      <c r="J12" s="5" t="s">
        <v>73</v>
      </c>
      <c r="K12" s="5" t="s">
        <v>21</v>
      </c>
      <c r="L12" s="5" t="s">
        <v>74</v>
      </c>
    </row>
    <row r="13" customFormat="false" ht="15" hidden="false" customHeight="true" outlineLevel="0" collapsed="false">
      <c r="A13" s="4" t="s">
        <v>75</v>
      </c>
      <c r="B13" s="4" t="s">
        <v>34</v>
      </c>
      <c r="C13" s="4" t="s">
        <v>15</v>
      </c>
      <c r="D13" s="4" t="s">
        <v>35</v>
      </c>
      <c r="E13" s="4" t="s">
        <v>27</v>
      </c>
      <c r="F13" s="4" t="s">
        <v>76</v>
      </c>
      <c r="G13" s="4" t="s">
        <v>77</v>
      </c>
      <c r="H13" s="4" t="n">
        <f aca="true">IF(G13&lt;&gt;"",INT(G13-F13),INT(TODAY()-F13))</f>
        <v>5</v>
      </c>
      <c r="I13" s="4" t="s">
        <v>73</v>
      </c>
      <c r="J13" s="4" t="s">
        <v>73</v>
      </c>
      <c r="K13" s="4" t="s">
        <v>38</v>
      </c>
      <c r="L13" s="4" t="s">
        <v>78</v>
      </c>
    </row>
    <row r="14" customFormat="false" ht="15" hidden="false" customHeight="true" outlineLevel="0" collapsed="false">
      <c r="A14" s="5" t="s">
        <v>79</v>
      </c>
      <c r="B14" s="5" t="s">
        <v>47</v>
      </c>
      <c r="C14" s="5" t="s">
        <v>25</v>
      </c>
      <c r="D14" s="5" t="s">
        <v>48</v>
      </c>
      <c r="E14" s="5" t="s">
        <v>17</v>
      </c>
      <c r="F14" s="5" t="s">
        <v>80</v>
      </c>
      <c r="G14" s="5"/>
      <c r="H14" s="5" t="n">
        <f aca="true">IF(G14&lt;&gt;"",INT(G14-F14),INT(TODAY()-F14))</f>
        <v>883</v>
      </c>
      <c r="I14" s="5" t="s">
        <v>65</v>
      </c>
      <c r="J14" s="5" t="s">
        <v>81</v>
      </c>
      <c r="K14" s="5" t="s">
        <v>50</v>
      </c>
      <c r="L14" s="5" t="s">
        <v>82</v>
      </c>
    </row>
    <row r="15" customFormat="false" ht="15" hidden="false" customHeight="true" outlineLevel="0" collapsed="false">
      <c r="A15" s="4" t="s">
        <v>83</v>
      </c>
      <c r="B15" s="4" t="s">
        <v>14</v>
      </c>
      <c r="C15" s="4" t="s">
        <v>41</v>
      </c>
      <c r="D15" s="4" t="s">
        <v>16</v>
      </c>
      <c r="E15" s="4" t="s">
        <v>27</v>
      </c>
      <c r="F15" s="4" t="s">
        <v>84</v>
      </c>
      <c r="G15" s="4" t="s">
        <v>85</v>
      </c>
      <c r="H15" s="4" t="n">
        <f aca="true">IF(G15&lt;&gt;"",INT(G15-F15),INT(TODAY()-F15))</f>
        <v>2</v>
      </c>
      <c r="I15" s="4" t="s">
        <v>86</v>
      </c>
      <c r="J15" s="4" t="s">
        <v>68</v>
      </c>
      <c r="K15" s="4" t="s">
        <v>21</v>
      </c>
      <c r="L15" s="4" t="s">
        <v>87</v>
      </c>
    </row>
    <row r="16" customFormat="false" ht="15" hidden="false" customHeight="true" outlineLevel="0" collapsed="false">
      <c r="A16" s="5" t="s">
        <v>88</v>
      </c>
      <c r="B16" s="5" t="s">
        <v>24</v>
      </c>
      <c r="C16" s="5" t="s">
        <v>15</v>
      </c>
      <c r="D16" s="5" t="s">
        <v>26</v>
      </c>
      <c r="E16" s="5" t="s">
        <v>17</v>
      </c>
      <c r="F16" s="5" t="s">
        <v>72</v>
      </c>
      <c r="G16" s="5"/>
      <c r="H16" s="5" t="n">
        <f aca="true">IF(G16&lt;&gt;"",INT(G16-F16),INT(TODAY()-F16))</f>
        <v>881</v>
      </c>
      <c r="I16" s="5" t="s">
        <v>89</v>
      </c>
      <c r="J16" s="5" t="s">
        <v>37</v>
      </c>
      <c r="K16" s="5" t="s">
        <v>21</v>
      </c>
      <c r="L16" s="5" t="s">
        <v>90</v>
      </c>
    </row>
    <row r="17" customFormat="false" ht="15" hidden="false" customHeight="true" outlineLevel="0" collapsed="false">
      <c r="A17" s="4" t="s">
        <v>91</v>
      </c>
      <c r="B17" s="4" t="s">
        <v>34</v>
      </c>
      <c r="C17" s="4" t="s">
        <v>25</v>
      </c>
      <c r="D17" s="4" t="s">
        <v>35</v>
      </c>
      <c r="E17" s="4" t="s">
        <v>17</v>
      </c>
      <c r="F17" s="4" t="s">
        <v>85</v>
      </c>
      <c r="G17" s="4"/>
      <c r="H17" s="4" t="n">
        <f aca="true">IF(G17&lt;&gt;"",INT(G17-F17),INT(TODAY()-F17))</f>
        <v>880</v>
      </c>
      <c r="I17" s="4" t="s">
        <v>92</v>
      </c>
      <c r="J17" s="4" t="s">
        <v>93</v>
      </c>
      <c r="K17" s="4" t="s">
        <v>21</v>
      </c>
      <c r="L17" s="4" t="s">
        <v>94</v>
      </c>
    </row>
    <row r="18" customFormat="false" ht="15" hidden="false" customHeight="true" outlineLevel="0" collapsed="false">
      <c r="A18" s="5" t="s">
        <v>95</v>
      </c>
      <c r="B18" s="5" t="s">
        <v>47</v>
      </c>
      <c r="C18" s="5" t="s">
        <v>41</v>
      </c>
      <c r="D18" s="5" t="s">
        <v>48</v>
      </c>
      <c r="E18" s="5" t="s">
        <v>27</v>
      </c>
      <c r="F18" s="5" t="s">
        <v>77</v>
      </c>
      <c r="G18" s="5" t="s">
        <v>96</v>
      </c>
      <c r="H18" s="5" t="n">
        <f aca="true">IF(G18&lt;&gt;"",INT(G18-F18),INT(TODAY()-F18))</f>
        <v>3</v>
      </c>
      <c r="I18" s="5" t="s">
        <v>97</v>
      </c>
      <c r="J18" s="5" t="s">
        <v>49</v>
      </c>
      <c r="K18" s="5" t="s">
        <v>98</v>
      </c>
      <c r="L18" s="5" t="s">
        <v>99</v>
      </c>
    </row>
    <row r="19" customFormat="false" ht="15" hidden="false" customHeight="true" outlineLevel="0" collapsed="false">
      <c r="A19" s="4" t="s">
        <v>100</v>
      </c>
      <c r="B19" s="4" t="s">
        <v>14</v>
      </c>
      <c r="C19" s="4" t="s">
        <v>15</v>
      </c>
      <c r="D19" s="4" t="s">
        <v>16</v>
      </c>
      <c r="E19" s="4" t="s">
        <v>17</v>
      </c>
      <c r="F19" s="4" t="s">
        <v>101</v>
      </c>
      <c r="G19" s="4"/>
      <c r="H19" s="4" t="n">
        <f aca="true">IF(G19&lt;&gt;"",INT(G19-F19),INT(TODAY()-F19))</f>
        <v>878</v>
      </c>
      <c r="I19" s="4" t="s">
        <v>19</v>
      </c>
      <c r="J19" s="4" t="s">
        <v>65</v>
      </c>
      <c r="K19" s="4" t="s">
        <v>50</v>
      </c>
      <c r="L19" s="4" t="s">
        <v>102</v>
      </c>
    </row>
    <row r="20" customFormat="false" ht="15" hidden="false" customHeight="true" outlineLevel="0" collapsed="false">
      <c r="A20" s="5" t="s">
        <v>103</v>
      </c>
      <c r="B20" s="5" t="s">
        <v>24</v>
      </c>
      <c r="C20" s="5" t="s">
        <v>25</v>
      </c>
      <c r="D20" s="5" t="s">
        <v>26</v>
      </c>
      <c r="E20" s="5" t="s">
        <v>27</v>
      </c>
      <c r="F20" s="5" t="s">
        <v>104</v>
      </c>
      <c r="G20" s="5" t="s">
        <v>105</v>
      </c>
      <c r="H20" s="5" t="n">
        <f aca="true">IF(G20&lt;&gt;"",INT(G20-F20),INT(TODAY()-F20))</f>
        <v>4</v>
      </c>
      <c r="I20" s="5" t="s">
        <v>37</v>
      </c>
      <c r="J20" s="5" t="s">
        <v>86</v>
      </c>
      <c r="K20" s="5" t="s">
        <v>21</v>
      </c>
      <c r="L20" s="5" t="s">
        <v>106</v>
      </c>
    </row>
    <row r="21" customFormat="false" ht="15" hidden="false" customHeight="true" outlineLevel="0" collapsed="false">
      <c r="A21" s="4" t="s">
        <v>107</v>
      </c>
      <c r="B21" s="4" t="s">
        <v>34</v>
      </c>
      <c r="C21" s="4" t="s">
        <v>41</v>
      </c>
      <c r="D21" s="4" t="s">
        <v>35</v>
      </c>
      <c r="E21" s="4" t="s">
        <v>27</v>
      </c>
      <c r="F21" s="4" t="s">
        <v>96</v>
      </c>
      <c r="G21" s="4" t="s">
        <v>108</v>
      </c>
      <c r="H21" s="4" t="n">
        <f aca="true">IF(G21&lt;&gt;"",INT(G21-F21),INT(TODAY()-F21))</f>
        <v>4</v>
      </c>
      <c r="I21" s="4" t="s">
        <v>44</v>
      </c>
      <c r="J21" s="4" t="s">
        <v>44</v>
      </c>
      <c r="K21" s="4" t="s">
        <v>38</v>
      </c>
      <c r="L21" s="4" t="s">
        <v>109</v>
      </c>
    </row>
    <row r="22" customFormat="false" ht="15" hidden="false" customHeight="true" outlineLevel="0" collapsed="false">
      <c r="A22" s="5" t="s">
        <v>110</v>
      </c>
      <c r="B22" s="5" t="s">
        <v>47</v>
      </c>
      <c r="C22" s="5" t="s">
        <v>15</v>
      </c>
      <c r="D22" s="5" t="s">
        <v>48</v>
      </c>
      <c r="E22" s="5" t="s">
        <v>17</v>
      </c>
      <c r="F22" s="5" t="s">
        <v>111</v>
      </c>
      <c r="G22" s="5"/>
      <c r="H22" s="5" t="n">
        <f aca="true">IF(G22&lt;&gt;"",INT(G22-F22),INT(TODAY()-F22))</f>
        <v>875</v>
      </c>
      <c r="I22" s="5" t="s">
        <v>20</v>
      </c>
      <c r="J22" s="5" t="s">
        <v>50</v>
      </c>
      <c r="K22" s="5" t="s">
        <v>49</v>
      </c>
      <c r="L22" s="5" t="s">
        <v>112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G3" activeCellId="0" sqref="G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17"/>
    <col collapsed="false" customWidth="true" hidden="false" outlineLevel="0" max="7" min="7" style="1" width="10"/>
  </cols>
  <sheetData>
    <row r="1" customFormat="false" ht="15" hidden="false" customHeight="true" outlineLevel="0" collapsed="false">
      <c r="A1" s="6" t="s">
        <v>113</v>
      </c>
      <c r="B1" s="6"/>
      <c r="C1" s="6"/>
      <c r="D1" s="6"/>
      <c r="E1" s="6"/>
      <c r="F1" s="6"/>
      <c r="G1" s="6"/>
    </row>
    <row r="2" customFormat="false" ht="30.75" hidden="false" customHeight="true" outlineLevel="0" collapsed="false">
      <c r="A2" s="3" t="s">
        <v>1</v>
      </c>
      <c r="B2" s="3" t="s">
        <v>2</v>
      </c>
      <c r="C2" s="3" t="s">
        <v>4</v>
      </c>
      <c r="D2" s="3" t="s">
        <v>5</v>
      </c>
      <c r="E2" s="3" t="s">
        <v>9</v>
      </c>
      <c r="F2" s="3" t="s">
        <v>10</v>
      </c>
      <c r="G2" s="3" t="s">
        <v>114</v>
      </c>
    </row>
    <row r="3" customFormat="false" ht="15" hidden="false" customHeight="true" outlineLevel="0" collapsed="false">
      <c r="A3" s="4" t="s">
        <v>13</v>
      </c>
      <c r="B3" s="4" t="s">
        <v>14</v>
      </c>
      <c r="C3" s="4" t="str">
        <f aca="false">INDEX(Dataset!$D:$D,MATCH(A3,Dataset!$A:$A,0))</f>
        <v>High</v>
      </c>
      <c r="D3" s="4" t="str">
        <f aca="false">INDEX(Dataset!$E:$E,MATCH(A3,Dataset!$A:$A,0))</f>
        <v>Open</v>
      </c>
      <c r="E3" s="4" t="s">
        <v>19</v>
      </c>
      <c r="F3" s="4" t="s">
        <v>20</v>
      </c>
      <c r="G3" s="7" t="n">
        <f aca="false">IFERROR(F3/E3,0)</f>
        <v>0.8</v>
      </c>
    </row>
    <row r="4" customFormat="false" ht="15" hidden="false" customHeight="true" outlineLevel="0" collapsed="false">
      <c r="A4" s="4" t="s">
        <v>23</v>
      </c>
      <c r="B4" s="4" t="s">
        <v>24</v>
      </c>
      <c r="C4" s="4" t="str">
        <f aca="false">INDEX(Dataset!$D:$D,MATCH(A4,Dataset!$A:$A,0))</f>
        <v>Medium</v>
      </c>
      <c r="D4" s="4" t="str">
        <f aca="false">INDEX(Dataset!$E:$E,MATCH(A4,Dataset!$A:$A,0))</f>
        <v>Closed</v>
      </c>
      <c r="E4" s="4" t="s">
        <v>30</v>
      </c>
      <c r="F4" s="4" t="s">
        <v>31</v>
      </c>
      <c r="G4" s="7" t="n">
        <f aca="false">IFERROR(F4/E4,0)</f>
        <v>0.9</v>
      </c>
    </row>
    <row r="5" customFormat="false" ht="15" hidden="false" customHeight="true" outlineLevel="0" collapsed="false">
      <c r="A5" s="4" t="s">
        <v>33</v>
      </c>
      <c r="B5" s="4" t="s">
        <v>34</v>
      </c>
      <c r="C5" s="4" t="str">
        <f aca="false">INDEX(Dataset!$D:$D,MATCH(A5,Dataset!$A:$A,0))</f>
        <v>Low</v>
      </c>
      <c r="D5" s="4" t="str">
        <f aca="false">INDEX(Dataset!$E:$E,MATCH(A5,Dataset!$A:$A,0))</f>
        <v>Open</v>
      </c>
      <c r="E5" s="4" t="s">
        <v>37</v>
      </c>
      <c r="F5" s="4" t="s">
        <v>37</v>
      </c>
      <c r="G5" s="7" t="n">
        <f aca="false">IFERROR(F5/E5,0)</f>
        <v>1</v>
      </c>
    </row>
    <row r="6" customFormat="false" ht="15" hidden="false" customHeight="true" outlineLevel="0" collapsed="false">
      <c r="A6" s="4" t="s">
        <v>40</v>
      </c>
      <c r="B6" s="4" t="s">
        <v>14</v>
      </c>
      <c r="C6" s="4" t="str">
        <f aca="false">INDEX(Dataset!$D:$D,MATCH(A6,Dataset!$A:$A,0))</f>
        <v>High</v>
      </c>
      <c r="D6" s="4" t="str">
        <f aca="false">INDEX(Dataset!$E:$E,MATCH(A6,Dataset!$A:$A,0))</f>
        <v>Closed</v>
      </c>
      <c r="E6" s="4" t="s">
        <v>44</v>
      </c>
      <c r="F6" s="4" t="s">
        <v>19</v>
      </c>
      <c r="G6" s="7" t="n">
        <f aca="false">IFERROR(F6/E6,0)</f>
        <v>0.833333333333333</v>
      </c>
    </row>
    <row r="7" customFormat="false" ht="15" hidden="false" customHeight="true" outlineLevel="0" collapsed="false">
      <c r="A7" s="4" t="s">
        <v>46</v>
      </c>
      <c r="B7" s="4" t="s">
        <v>47</v>
      </c>
      <c r="C7" s="4" t="str">
        <f aca="false">INDEX(Dataset!$D:$D,MATCH(A7,Dataset!$A:$A,0))</f>
        <v>Critical</v>
      </c>
      <c r="D7" s="4" t="str">
        <f aca="false">INDEX(Dataset!$E:$E,MATCH(A7,Dataset!$A:$A,0))</f>
        <v>Open</v>
      </c>
      <c r="E7" s="4" t="s">
        <v>20</v>
      </c>
      <c r="F7" s="4" t="s">
        <v>49</v>
      </c>
      <c r="G7" s="7" t="n">
        <f aca="false">IFERROR(F7/E7,0)</f>
        <v>0.625</v>
      </c>
    </row>
    <row r="8" customFormat="false" ht="15" hidden="false" customHeight="true" outlineLevel="0" collapsed="false">
      <c r="A8" s="4" t="s">
        <v>52</v>
      </c>
      <c r="B8" s="4" t="s">
        <v>24</v>
      </c>
      <c r="C8" s="4" t="str">
        <f aca="false">INDEX(Dataset!$D:$D,MATCH(A8,Dataset!$A:$A,0))</f>
        <v>Medium</v>
      </c>
      <c r="D8" s="4" t="str">
        <f aca="false">INDEX(Dataset!$E:$E,MATCH(A8,Dataset!$A:$A,0))</f>
        <v>Closed</v>
      </c>
      <c r="E8" s="4" t="s">
        <v>31</v>
      </c>
      <c r="F8" s="4" t="s">
        <v>55</v>
      </c>
      <c r="G8" s="7" t="n">
        <f aca="false">IFERROR(F8/E8,0)</f>
        <v>0.888888888888889</v>
      </c>
    </row>
    <row r="9" customFormat="false" ht="15" hidden="false" customHeight="true" outlineLevel="0" collapsed="false">
      <c r="A9" s="4" t="s">
        <v>57</v>
      </c>
      <c r="B9" s="4" t="s">
        <v>34</v>
      </c>
      <c r="C9" s="4" t="str">
        <f aca="false">INDEX(Dataset!$D:$D,MATCH(A9,Dataset!$A:$A,0))</f>
        <v>Low</v>
      </c>
      <c r="D9" s="4" t="str">
        <f aca="false">INDEX(Dataset!$E:$E,MATCH(A9,Dataset!$A:$A,0))</f>
        <v>Open</v>
      </c>
      <c r="E9" s="4" t="s">
        <v>59</v>
      </c>
      <c r="F9" s="4" t="s">
        <v>30</v>
      </c>
      <c r="G9" s="7" t="n">
        <f aca="false">IFERROR(F9/E9,0)</f>
        <v>0.909090909090909</v>
      </c>
    </row>
    <row r="10" customFormat="false" ht="15" hidden="false" customHeight="true" outlineLevel="0" collapsed="false">
      <c r="A10" s="4" t="s">
        <v>61</v>
      </c>
      <c r="B10" s="4" t="s">
        <v>47</v>
      </c>
      <c r="C10" s="4" t="str">
        <f aca="false">INDEX(Dataset!$D:$D,MATCH(A10,Dataset!$A:$A,0))</f>
        <v>Critical</v>
      </c>
      <c r="D10" s="4" t="str">
        <f aca="false">INDEX(Dataset!$E:$E,MATCH(A10,Dataset!$A:$A,0))</f>
        <v>Closed</v>
      </c>
      <c r="E10" s="4" t="s">
        <v>64</v>
      </c>
      <c r="F10" s="4" t="s">
        <v>65</v>
      </c>
      <c r="G10" s="7" t="n">
        <f aca="false">IFERROR(F10/E10,0)</f>
        <v>0.777777777777778</v>
      </c>
    </row>
    <row r="11" customFormat="false" ht="15" hidden="false" customHeight="true" outlineLevel="0" collapsed="false">
      <c r="A11" s="4" t="s">
        <v>67</v>
      </c>
      <c r="B11" s="4" t="s">
        <v>14</v>
      </c>
      <c r="C11" s="4" t="str">
        <f aca="false">INDEX(Dataset!$D:$D,MATCH(A11,Dataset!$A:$A,0))</f>
        <v>High</v>
      </c>
      <c r="D11" s="4" t="str">
        <f aca="false">INDEX(Dataset!$E:$E,MATCH(A11,Dataset!$A:$A,0))</f>
        <v>Open</v>
      </c>
      <c r="E11" s="4" t="s">
        <v>68</v>
      </c>
      <c r="F11" s="4" t="s">
        <v>64</v>
      </c>
      <c r="G11" s="7" t="n">
        <f aca="false">IFERROR(F11/E11,0)</f>
        <v>0.818181818181818</v>
      </c>
    </row>
    <row r="12" customFormat="false" ht="15" hidden="false" customHeight="true" outlineLevel="0" collapsed="false">
      <c r="A12" s="4" t="s">
        <v>70</v>
      </c>
      <c r="B12" s="4" t="s">
        <v>24</v>
      </c>
      <c r="C12" s="4" t="str">
        <f aca="false">INDEX(Dataset!$D:$D,MATCH(A12,Dataset!$A:$A,0))</f>
        <v>Medium</v>
      </c>
      <c r="D12" s="4" t="str">
        <f aca="false">INDEX(Dataset!$E:$E,MATCH(A12,Dataset!$A:$A,0))</f>
        <v>Closed</v>
      </c>
      <c r="E12" s="4" t="s">
        <v>55</v>
      </c>
      <c r="F12" s="4" t="s">
        <v>73</v>
      </c>
      <c r="G12" s="7" t="n">
        <f aca="false">IFERROR(F12/E12,0)</f>
        <v>0.875</v>
      </c>
    </row>
    <row r="13" customFormat="false" ht="15" hidden="false" customHeight="true" outlineLevel="0" collapsed="false">
      <c r="A13" s="4" t="s">
        <v>75</v>
      </c>
      <c r="B13" s="4" t="s">
        <v>34</v>
      </c>
      <c r="C13" s="4" t="str">
        <f aca="false">INDEX(Dataset!$D:$D,MATCH(A13,Dataset!$A:$A,0))</f>
        <v>Low</v>
      </c>
      <c r="D13" s="4" t="str">
        <f aca="false">INDEX(Dataset!$E:$E,MATCH(A13,Dataset!$A:$A,0))</f>
        <v>Closed</v>
      </c>
      <c r="E13" s="4" t="s">
        <v>73</v>
      </c>
      <c r="F13" s="4" t="s">
        <v>73</v>
      </c>
      <c r="G13" s="7" t="n">
        <f aca="false">IFERROR(F13/E13,0)</f>
        <v>1</v>
      </c>
    </row>
    <row r="14" customFormat="false" ht="15" hidden="false" customHeight="true" outlineLevel="0" collapsed="false">
      <c r="A14" s="4" t="s">
        <v>79</v>
      </c>
      <c r="B14" s="4" t="s">
        <v>47</v>
      </c>
      <c r="C14" s="4" t="str">
        <f aca="false">INDEX(Dataset!$D:$D,MATCH(A14,Dataset!$A:$A,0))</f>
        <v>Critical</v>
      </c>
      <c r="D14" s="4" t="str">
        <f aca="false">INDEX(Dataset!$E:$E,MATCH(A14,Dataset!$A:$A,0))</f>
        <v>Open</v>
      </c>
      <c r="E14" s="4" t="s">
        <v>65</v>
      </c>
      <c r="F14" s="4" t="s">
        <v>81</v>
      </c>
      <c r="G14" s="7" t="n">
        <f aca="false">IFERROR(F14/E14,0)</f>
        <v>0.571428571428571</v>
      </c>
    </row>
    <row r="15" customFormat="false" ht="15" hidden="false" customHeight="true" outlineLevel="0" collapsed="false">
      <c r="A15" s="4" t="s">
        <v>83</v>
      </c>
      <c r="B15" s="4" t="s">
        <v>14</v>
      </c>
      <c r="C15" s="4" t="str">
        <f aca="false">INDEX(Dataset!$D:$D,MATCH(A15,Dataset!$A:$A,0))</f>
        <v>High</v>
      </c>
      <c r="D15" s="4" t="str">
        <f aca="false">INDEX(Dataset!$E:$E,MATCH(A15,Dataset!$A:$A,0))</f>
        <v>Closed</v>
      </c>
      <c r="E15" s="4" t="s">
        <v>86</v>
      </c>
      <c r="F15" s="4" t="s">
        <v>68</v>
      </c>
      <c r="G15" s="7" t="n">
        <f aca="false">IFERROR(F15/E15,0)</f>
        <v>0.846153846153846</v>
      </c>
    </row>
    <row r="16" customFormat="false" ht="15" hidden="false" customHeight="true" outlineLevel="0" collapsed="false">
      <c r="A16" s="4" t="s">
        <v>88</v>
      </c>
      <c r="B16" s="4" t="s">
        <v>24</v>
      </c>
      <c r="C16" s="4" t="str">
        <f aca="false">INDEX(Dataset!$D:$D,MATCH(A16,Dataset!$A:$A,0))</f>
        <v>Medium</v>
      </c>
      <c r="D16" s="4" t="str">
        <f aca="false">INDEX(Dataset!$E:$E,MATCH(A16,Dataset!$A:$A,0))</f>
        <v>Open</v>
      </c>
      <c r="E16" s="4" t="s">
        <v>89</v>
      </c>
      <c r="F16" s="4" t="s">
        <v>37</v>
      </c>
      <c r="G16" s="7" t="n">
        <f aca="false">IFERROR(F16/E16,0)</f>
        <v>0.882352941176471</v>
      </c>
    </row>
    <row r="17" customFormat="false" ht="15" hidden="false" customHeight="true" outlineLevel="0" collapsed="false">
      <c r="A17" s="4" t="s">
        <v>91</v>
      </c>
      <c r="B17" s="4" t="s">
        <v>34</v>
      </c>
      <c r="C17" s="4" t="str">
        <f aca="false">INDEX(Dataset!$D:$D,MATCH(A17,Dataset!$A:$A,0))</f>
        <v>Low</v>
      </c>
      <c r="D17" s="4" t="str">
        <f aca="false">INDEX(Dataset!$E:$E,MATCH(A17,Dataset!$A:$A,0))</f>
        <v>Open</v>
      </c>
      <c r="E17" s="4" t="s">
        <v>92</v>
      </c>
      <c r="F17" s="4" t="s">
        <v>93</v>
      </c>
      <c r="G17" s="7" t="n">
        <f aca="false">IFERROR(F17/E17,0)</f>
        <v>0.904761904761905</v>
      </c>
    </row>
    <row r="18" customFormat="false" ht="15" hidden="false" customHeight="true" outlineLevel="0" collapsed="false">
      <c r="A18" s="4" t="s">
        <v>95</v>
      </c>
      <c r="B18" s="4" t="s">
        <v>47</v>
      </c>
      <c r="C18" s="4" t="str">
        <f aca="false">INDEX(Dataset!$D:$D,MATCH(A18,Dataset!$A:$A,0))</f>
        <v>Critical</v>
      </c>
      <c r="D18" s="4" t="str">
        <f aca="false">INDEX(Dataset!$E:$E,MATCH(A18,Dataset!$A:$A,0))</f>
        <v>Closed</v>
      </c>
      <c r="E18" s="4" t="s">
        <v>97</v>
      </c>
      <c r="F18" s="4" t="s">
        <v>49</v>
      </c>
      <c r="G18" s="7" t="n">
        <f aca="false">IFERROR(F18/E18,0)</f>
        <v>0.833333333333333</v>
      </c>
    </row>
    <row r="19" customFormat="false" ht="15" hidden="false" customHeight="true" outlineLevel="0" collapsed="false">
      <c r="A19" s="4" t="s">
        <v>100</v>
      </c>
      <c r="B19" s="4" t="s">
        <v>14</v>
      </c>
      <c r="C19" s="4" t="str">
        <f aca="false">INDEX(Dataset!$D:$D,MATCH(A19,Dataset!$A:$A,0))</f>
        <v>High</v>
      </c>
      <c r="D19" s="4" t="str">
        <f aca="false">INDEX(Dataset!$E:$E,MATCH(A19,Dataset!$A:$A,0))</f>
        <v>Open</v>
      </c>
      <c r="E19" s="4" t="s">
        <v>19</v>
      </c>
      <c r="F19" s="4" t="s">
        <v>65</v>
      </c>
      <c r="G19" s="7" t="n">
        <f aca="false">IFERROR(F19/E19,0)</f>
        <v>0.7</v>
      </c>
    </row>
    <row r="20" customFormat="false" ht="15" hidden="false" customHeight="true" outlineLevel="0" collapsed="false">
      <c r="A20" s="4" t="s">
        <v>103</v>
      </c>
      <c r="B20" s="4" t="s">
        <v>24</v>
      </c>
      <c r="C20" s="4" t="str">
        <f aca="false">INDEX(Dataset!$D:$D,MATCH(A20,Dataset!$A:$A,0))</f>
        <v>Medium</v>
      </c>
      <c r="D20" s="4" t="str">
        <f aca="false">INDEX(Dataset!$E:$E,MATCH(A20,Dataset!$A:$A,0))</f>
        <v>Closed</v>
      </c>
      <c r="E20" s="4" t="s">
        <v>37</v>
      </c>
      <c r="F20" s="4" t="s">
        <v>86</v>
      </c>
      <c r="G20" s="7" t="n">
        <f aca="false">IFERROR(F20/E20,0)</f>
        <v>0.866666666666667</v>
      </c>
    </row>
    <row r="21" customFormat="false" ht="15" hidden="false" customHeight="true" outlineLevel="0" collapsed="false">
      <c r="A21" s="4" t="s">
        <v>107</v>
      </c>
      <c r="B21" s="4" t="s">
        <v>34</v>
      </c>
      <c r="C21" s="4" t="str">
        <f aca="false">INDEX(Dataset!$D:$D,MATCH(A21,Dataset!$A:$A,0))</f>
        <v>Low</v>
      </c>
      <c r="D21" s="4" t="str">
        <f aca="false">INDEX(Dataset!$E:$E,MATCH(A21,Dataset!$A:$A,0))</f>
        <v>Closed</v>
      </c>
      <c r="E21" s="4" t="s">
        <v>44</v>
      </c>
      <c r="F21" s="4" t="s">
        <v>44</v>
      </c>
      <c r="G21" s="7" t="n">
        <f aca="false">IFERROR(F21/E21,0)</f>
        <v>1</v>
      </c>
    </row>
    <row r="22" customFormat="false" ht="15" hidden="false" customHeight="true" outlineLevel="0" collapsed="false">
      <c r="A22" s="4" t="s">
        <v>110</v>
      </c>
      <c r="B22" s="4" t="s">
        <v>47</v>
      </c>
      <c r="C22" s="4" t="str">
        <f aca="false">INDEX(Dataset!$D:$D,MATCH(A22,Dataset!$A:$A,0))</f>
        <v>Critical</v>
      </c>
      <c r="D22" s="4" t="str">
        <f aca="false">INDEX(Dataset!$E:$E,MATCH(A22,Dataset!$A:$A,0))</f>
        <v>Open</v>
      </c>
      <c r="E22" s="4" t="s">
        <v>20</v>
      </c>
      <c r="F22" s="4" t="s">
        <v>50</v>
      </c>
      <c r="G22" s="7" t="n">
        <f aca="false">IFERROR(F22/E22,0)</f>
        <v>0.375</v>
      </c>
    </row>
  </sheetData>
  <mergeCells count="1">
    <mergeCell ref="A1:G1"/>
  </mergeCells>
  <conditionalFormatting sqref="C3:C22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G3:G22">
    <cfRule type="cellIs" priority="6" operator="lessThan" aboveAverage="0" equalAverage="0" bottom="0" percent="0" rank="0" text="" dxfId="0">
      <formula>0.7</formula>
    </cfRule>
    <cfRule type="cellIs" priority="7" operator="greaterThanOrEqual" aboveAverage="0" equalAverage="0" bottom="0" percent="0" rank="0" text="" dxfId="3">
      <formula>0.9</formula>
    </cfRule>
  </conditionalFormatting>
  <dataValidations count="3">
    <dataValidation allowBlank="false" error="Enter a whole number between 0 and 100" errorStyle="stop" errorTitle="Invalid Number" operator="between" showDropDown="false" showErrorMessage="true" showInputMessage="false" sqref="E3:F22" type="whole">
      <formula1>0</formula1>
      <formula2>100</formula2>
    </dataValidation>
    <dataValidation allowBlank="true" error="Choose a valid priority" errorStyle="stop" operator="between" prompt="Select priority" showDropDown="false" showErrorMessage="true" showInputMessage="false" sqref="C3:C22" type="list">
      <formula1>"Critical,High,Medium,Low"</formula1>
      <formula2>0</formula2>
    </dataValidation>
    <dataValidation allowBlank="true" error="Choose a valid status" errorStyle="stop" operator="between" prompt="Select status" showDropDown="false" showErrorMessage="true" showInputMessage="false" sqref="D3:D22" type="list">
      <formula1>"Open,Closed"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6" activePane="bottomLeft" state="frozen"/>
      <selection pane="topLeft" activeCell="A1" activeCellId="0" sqref="A1"/>
      <selection pane="bottomLeft" activeCell="A35" activeCellId="0" sqref="A3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7" min="6" style="1" width="14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5"/>
    <col collapsed="false" customWidth="true" hidden="false" outlineLevel="0" max="12" min="12" style="1" width="16"/>
  </cols>
  <sheetData>
    <row r="1" customFormat="false" ht="15" hidden="false" customHeight="true" outlineLevel="0" collapsed="false">
      <c r="A1" s="6" t="s">
        <v>115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23.2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customFormat="false" ht="15" hidden="false" customHeight="tru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/>
      <c r="H3" s="4" t="n">
        <f aca="true">IF(G3&lt;&gt;"",INT(G3-F3),INT(TODAY()-F3))</f>
        <v>896</v>
      </c>
      <c r="I3" s="4" t="s">
        <v>19</v>
      </c>
      <c r="J3" s="4" t="s">
        <v>20</v>
      </c>
      <c r="K3" s="4" t="s">
        <v>21</v>
      </c>
      <c r="L3" s="4" t="s">
        <v>22</v>
      </c>
    </row>
    <row r="4" customFormat="false" ht="15" hidden="false" customHeight="true" outlineLevel="0" collapsed="false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n">
        <f aca="true">IF(G4&lt;&gt;"",INT(G4-F4),INT(TODAY()-F4))</f>
        <v>4</v>
      </c>
      <c r="I4" s="5" t="s">
        <v>30</v>
      </c>
      <c r="J4" s="5" t="s">
        <v>31</v>
      </c>
      <c r="K4" s="5" t="s">
        <v>21</v>
      </c>
      <c r="L4" s="5" t="s">
        <v>32</v>
      </c>
    </row>
    <row r="5" customFormat="false" ht="15" hidden="false" customHeight="true" outlineLevel="0" collapsed="false">
      <c r="A5" s="4" t="s">
        <v>33</v>
      </c>
      <c r="B5" s="4" t="s">
        <v>34</v>
      </c>
      <c r="C5" s="4" t="s">
        <v>15</v>
      </c>
      <c r="D5" s="4" t="s">
        <v>35</v>
      </c>
      <c r="E5" s="4" t="s">
        <v>17</v>
      </c>
      <c r="F5" s="4" t="s">
        <v>36</v>
      </c>
      <c r="G5" s="4"/>
      <c r="H5" s="4" t="n">
        <f aca="true">IF(G5&lt;&gt;"",INT(G5-F5),INT(TODAY()-F5))</f>
        <v>894</v>
      </c>
      <c r="I5" s="4" t="s">
        <v>37</v>
      </c>
      <c r="J5" s="4" t="s">
        <v>37</v>
      </c>
      <c r="K5" s="4" t="s">
        <v>38</v>
      </c>
      <c r="L5" s="4" t="s">
        <v>39</v>
      </c>
    </row>
    <row r="6" customFormat="false" ht="15" hidden="false" customHeight="true" outlineLevel="0" collapsed="false">
      <c r="A6" s="5" t="s">
        <v>40</v>
      </c>
      <c r="B6" s="5" t="s">
        <v>14</v>
      </c>
      <c r="C6" s="5" t="s">
        <v>41</v>
      </c>
      <c r="D6" s="5" t="s">
        <v>16</v>
      </c>
      <c r="E6" s="5" t="s">
        <v>27</v>
      </c>
      <c r="F6" s="5" t="s">
        <v>42</v>
      </c>
      <c r="G6" s="5" t="s">
        <v>43</v>
      </c>
      <c r="H6" s="5" t="n">
        <f aca="true">IF(G6&lt;&gt;"",INT(G6-F6),INT(TODAY()-F6))</f>
        <v>1</v>
      </c>
      <c r="I6" s="5" t="s">
        <v>44</v>
      </c>
      <c r="J6" s="5" t="s">
        <v>19</v>
      </c>
      <c r="K6" s="5" t="s">
        <v>21</v>
      </c>
      <c r="L6" s="5" t="s">
        <v>45</v>
      </c>
    </row>
    <row r="7" customFormat="false" ht="15" hidden="false" customHeight="true" outlineLevel="0" collapsed="false">
      <c r="A7" s="4" t="s">
        <v>46</v>
      </c>
      <c r="B7" s="4" t="s">
        <v>47</v>
      </c>
      <c r="C7" s="4" t="s">
        <v>25</v>
      </c>
      <c r="D7" s="4" t="s">
        <v>48</v>
      </c>
      <c r="E7" s="4" t="s">
        <v>17</v>
      </c>
      <c r="F7" s="4" t="s">
        <v>29</v>
      </c>
      <c r="G7" s="4"/>
      <c r="H7" s="4" t="n">
        <f aca="true">IF(G7&lt;&gt;"",INT(G7-F7),INT(TODAY()-F7))</f>
        <v>891</v>
      </c>
      <c r="I7" s="4" t="s">
        <v>20</v>
      </c>
      <c r="J7" s="4" t="s">
        <v>49</v>
      </c>
      <c r="K7" s="4" t="s">
        <v>50</v>
      </c>
      <c r="L7" s="4" t="s">
        <v>51</v>
      </c>
    </row>
    <row r="8" customFormat="false" ht="15" hidden="false" customHeight="true" outlineLevel="0" collapsed="false">
      <c r="A8" s="5" t="s">
        <v>52</v>
      </c>
      <c r="B8" s="5" t="s">
        <v>24</v>
      </c>
      <c r="C8" s="5" t="s">
        <v>15</v>
      </c>
      <c r="D8" s="5" t="s">
        <v>26</v>
      </c>
      <c r="E8" s="5" t="s">
        <v>27</v>
      </c>
      <c r="F8" s="5" t="s">
        <v>53</v>
      </c>
      <c r="G8" s="5" t="s">
        <v>54</v>
      </c>
      <c r="H8" s="5" t="n">
        <f aca="true">IF(G8&lt;&gt;"",INT(G8-F8),INT(TODAY()-F8))</f>
        <v>4</v>
      </c>
      <c r="I8" s="5" t="s">
        <v>31</v>
      </c>
      <c r="J8" s="5" t="s">
        <v>55</v>
      </c>
      <c r="K8" s="5" t="s">
        <v>21</v>
      </c>
      <c r="L8" s="5" t="s">
        <v>56</v>
      </c>
    </row>
    <row r="9" customFormat="false" ht="15" hidden="false" customHeight="true" outlineLevel="0" collapsed="false">
      <c r="A9" s="4" t="s">
        <v>57</v>
      </c>
      <c r="B9" s="4" t="s">
        <v>34</v>
      </c>
      <c r="C9" s="4" t="s">
        <v>41</v>
      </c>
      <c r="D9" s="4" t="s">
        <v>35</v>
      </c>
      <c r="E9" s="4" t="s">
        <v>17</v>
      </c>
      <c r="F9" s="4" t="s">
        <v>58</v>
      </c>
      <c r="G9" s="4"/>
      <c r="H9" s="4" t="n">
        <f aca="true">IF(G9&lt;&gt;"",INT(G9-F9),INT(TODAY()-F9))</f>
        <v>889</v>
      </c>
      <c r="I9" s="4" t="s">
        <v>59</v>
      </c>
      <c r="J9" s="4" t="s">
        <v>30</v>
      </c>
      <c r="K9" s="4" t="s">
        <v>21</v>
      </c>
      <c r="L9" s="4" t="s">
        <v>60</v>
      </c>
    </row>
    <row r="10" customFormat="false" ht="15" hidden="false" customHeight="true" outlineLevel="0" collapsed="false">
      <c r="A10" s="5" t="s">
        <v>61</v>
      </c>
      <c r="B10" s="5" t="s">
        <v>47</v>
      </c>
      <c r="C10" s="5" t="s">
        <v>15</v>
      </c>
      <c r="D10" s="5" t="s">
        <v>48</v>
      </c>
      <c r="E10" s="5" t="s">
        <v>27</v>
      </c>
      <c r="F10" s="5" t="s">
        <v>62</v>
      </c>
      <c r="G10" s="5" t="s">
        <v>63</v>
      </c>
      <c r="H10" s="5" t="n">
        <f aca="true">IF(G10&lt;&gt;"",INT(G10-F10),INT(TODAY()-F10))</f>
        <v>1</v>
      </c>
      <c r="I10" s="5" t="s">
        <v>64</v>
      </c>
      <c r="J10" s="5" t="s">
        <v>65</v>
      </c>
      <c r="K10" s="5" t="s">
        <v>21</v>
      </c>
      <c r="L10" s="5" t="s">
        <v>66</v>
      </c>
    </row>
    <row r="11" customFormat="false" ht="15" hidden="false" customHeight="true" outlineLevel="0" collapsed="false">
      <c r="A11" s="4" t="s">
        <v>67</v>
      </c>
      <c r="B11" s="4" t="s">
        <v>14</v>
      </c>
      <c r="C11" s="4" t="s">
        <v>25</v>
      </c>
      <c r="D11" s="4" t="s">
        <v>16</v>
      </c>
      <c r="E11" s="4" t="s">
        <v>17</v>
      </c>
      <c r="F11" s="4" t="s">
        <v>54</v>
      </c>
      <c r="G11" s="4"/>
      <c r="H11" s="4" t="n">
        <f aca="true">IF(G11&lt;&gt;"",INT(G11-F11),INT(TODAY()-F11))</f>
        <v>886</v>
      </c>
      <c r="I11" s="4" t="s">
        <v>68</v>
      </c>
      <c r="J11" s="4" t="s">
        <v>64</v>
      </c>
      <c r="K11" s="4" t="s">
        <v>21</v>
      </c>
      <c r="L11" s="4" t="s">
        <v>69</v>
      </c>
    </row>
    <row r="12" customFormat="false" ht="15" hidden="false" customHeight="true" outlineLevel="0" collapsed="false">
      <c r="A12" s="5" t="s">
        <v>70</v>
      </c>
      <c r="B12" s="5" t="s">
        <v>24</v>
      </c>
      <c r="C12" s="5" t="s">
        <v>41</v>
      </c>
      <c r="D12" s="5" t="s">
        <v>26</v>
      </c>
      <c r="E12" s="5" t="s">
        <v>27</v>
      </c>
      <c r="F12" s="5" t="s">
        <v>71</v>
      </c>
      <c r="G12" s="5" t="s">
        <v>72</v>
      </c>
      <c r="H12" s="5" t="n">
        <f aca="true">IF(G12&lt;&gt;"",INT(G12-F12),INT(TODAY()-F12))</f>
        <v>4</v>
      </c>
      <c r="I12" s="5" t="s">
        <v>55</v>
      </c>
      <c r="J12" s="5" t="s">
        <v>73</v>
      </c>
      <c r="K12" s="5" t="s">
        <v>21</v>
      </c>
      <c r="L12" s="5" t="s">
        <v>74</v>
      </c>
    </row>
    <row r="13" customFormat="false" ht="15" hidden="false" customHeight="true" outlineLevel="0" collapsed="false">
      <c r="A13" s="4" t="s">
        <v>75</v>
      </c>
      <c r="B13" s="4" t="s">
        <v>34</v>
      </c>
      <c r="C13" s="4" t="s">
        <v>15</v>
      </c>
      <c r="D13" s="4" t="s">
        <v>35</v>
      </c>
      <c r="E13" s="4" t="s">
        <v>27</v>
      </c>
      <c r="F13" s="4" t="s">
        <v>76</v>
      </c>
      <c r="G13" s="4" t="s">
        <v>77</v>
      </c>
      <c r="H13" s="4" t="n">
        <f aca="true">IF(G13&lt;&gt;"",INT(G13-F13),INT(TODAY()-F13))</f>
        <v>5</v>
      </c>
      <c r="I13" s="4" t="s">
        <v>73</v>
      </c>
      <c r="J13" s="4" t="s">
        <v>73</v>
      </c>
      <c r="K13" s="4" t="s">
        <v>38</v>
      </c>
      <c r="L13" s="4" t="s">
        <v>78</v>
      </c>
    </row>
    <row r="14" customFormat="false" ht="15" hidden="false" customHeight="true" outlineLevel="0" collapsed="false">
      <c r="A14" s="5" t="s">
        <v>79</v>
      </c>
      <c r="B14" s="5" t="s">
        <v>47</v>
      </c>
      <c r="C14" s="5" t="s">
        <v>25</v>
      </c>
      <c r="D14" s="5" t="s">
        <v>48</v>
      </c>
      <c r="E14" s="5" t="s">
        <v>17</v>
      </c>
      <c r="F14" s="5" t="s">
        <v>80</v>
      </c>
      <c r="G14" s="5"/>
      <c r="H14" s="5" t="n">
        <f aca="true">IF(G14&lt;&gt;"",INT(G14-F14),INT(TODAY()-F14))</f>
        <v>883</v>
      </c>
      <c r="I14" s="5" t="s">
        <v>65</v>
      </c>
      <c r="J14" s="5" t="s">
        <v>81</v>
      </c>
      <c r="K14" s="5" t="s">
        <v>50</v>
      </c>
      <c r="L14" s="5" t="s">
        <v>82</v>
      </c>
    </row>
    <row r="15" customFormat="false" ht="15" hidden="false" customHeight="true" outlineLevel="0" collapsed="false">
      <c r="A15" s="4" t="s">
        <v>83</v>
      </c>
      <c r="B15" s="4" t="s">
        <v>14</v>
      </c>
      <c r="C15" s="4" t="s">
        <v>41</v>
      </c>
      <c r="D15" s="4" t="s">
        <v>16</v>
      </c>
      <c r="E15" s="4" t="s">
        <v>27</v>
      </c>
      <c r="F15" s="4" t="s">
        <v>84</v>
      </c>
      <c r="G15" s="4" t="s">
        <v>85</v>
      </c>
      <c r="H15" s="4" t="n">
        <f aca="true">IF(G15&lt;&gt;"",INT(G15-F15),INT(TODAY()-F15))</f>
        <v>2</v>
      </c>
      <c r="I15" s="4" t="s">
        <v>86</v>
      </c>
      <c r="J15" s="4" t="s">
        <v>68</v>
      </c>
      <c r="K15" s="4" t="s">
        <v>21</v>
      </c>
      <c r="L15" s="4" t="s">
        <v>87</v>
      </c>
    </row>
    <row r="16" customFormat="false" ht="15" hidden="false" customHeight="true" outlineLevel="0" collapsed="false">
      <c r="A16" s="5" t="s">
        <v>88</v>
      </c>
      <c r="B16" s="5" t="s">
        <v>24</v>
      </c>
      <c r="C16" s="5" t="s">
        <v>15</v>
      </c>
      <c r="D16" s="5" t="s">
        <v>26</v>
      </c>
      <c r="E16" s="5" t="s">
        <v>17</v>
      </c>
      <c r="F16" s="5" t="s">
        <v>72</v>
      </c>
      <c r="G16" s="5"/>
      <c r="H16" s="5" t="n">
        <f aca="true">IF(G16&lt;&gt;"",INT(G16-F16),INT(TODAY()-F16))</f>
        <v>881</v>
      </c>
      <c r="I16" s="5" t="s">
        <v>89</v>
      </c>
      <c r="J16" s="5" t="s">
        <v>37</v>
      </c>
      <c r="K16" s="5" t="s">
        <v>21</v>
      </c>
      <c r="L16" s="5" t="s">
        <v>90</v>
      </c>
    </row>
    <row r="17" customFormat="false" ht="15" hidden="false" customHeight="true" outlineLevel="0" collapsed="false">
      <c r="A17" s="4" t="s">
        <v>91</v>
      </c>
      <c r="B17" s="4" t="s">
        <v>34</v>
      </c>
      <c r="C17" s="4" t="s">
        <v>25</v>
      </c>
      <c r="D17" s="4" t="s">
        <v>35</v>
      </c>
      <c r="E17" s="4" t="s">
        <v>17</v>
      </c>
      <c r="F17" s="4" t="s">
        <v>85</v>
      </c>
      <c r="G17" s="4"/>
      <c r="H17" s="4" t="n">
        <f aca="true">IF(G17&lt;&gt;"",INT(G17-F17),INT(TODAY()-F17))</f>
        <v>880</v>
      </c>
      <c r="I17" s="4" t="s">
        <v>92</v>
      </c>
      <c r="J17" s="4" t="s">
        <v>93</v>
      </c>
      <c r="K17" s="4" t="s">
        <v>21</v>
      </c>
      <c r="L17" s="4" t="s">
        <v>94</v>
      </c>
    </row>
    <row r="18" customFormat="false" ht="15" hidden="false" customHeight="true" outlineLevel="0" collapsed="false">
      <c r="A18" s="5" t="s">
        <v>95</v>
      </c>
      <c r="B18" s="5" t="s">
        <v>47</v>
      </c>
      <c r="C18" s="5" t="s">
        <v>41</v>
      </c>
      <c r="D18" s="5" t="s">
        <v>48</v>
      </c>
      <c r="E18" s="5" t="s">
        <v>27</v>
      </c>
      <c r="F18" s="5" t="s">
        <v>77</v>
      </c>
      <c r="G18" s="5" t="s">
        <v>96</v>
      </c>
      <c r="H18" s="5" t="n">
        <f aca="true">IF(G18&lt;&gt;"",INT(G18-F18),INT(TODAY()-F18))</f>
        <v>3</v>
      </c>
      <c r="I18" s="5" t="s">
        <v>97</v>
      </c>
      <c r="J18" s="5" t="s">
        <v>49</v>
      </c>
      <c r="K18" s="5" t="s">
        <v>98</v>
      </c>
      <c r="L18" s="5" t="s">
        <v>99</v>
      </c>
    </row>
    <row r="19" customFormat="false" ht="15" hidden="false" customHeight="true" outlineLevel="0" collapsed="false">
      <c r="A19" s="4" t="s">
        <v>100</v>
      </c>
      <c r="B19" s="4" t="s">
        <v>14</v>
      </c>
      <c r="C19" s="4" t="s">
        <v>15</v>
      </c>
      <c r="D19" s="4" t="s">
        <v>16</v>
      </c>
      <c r="E19" s="4" t="s">
        <v>17</v>
      </c>
      <c r="F19" s="4" t="s">
        <v>101</v>
      </c>
      <c r="G19" s="4"/>
      <c r="H19" s="4" t="n">
        <f aca="true">IF(G19&lt;&gt;"",INT(G19-F19),INT(TODAY()-F19))</f>
        <v>878</v>
      </c>
      <c r="I19" s="4" t="s">
        <v>19</v>
      </c>
      <c r="J19" s="4" t="s">
        <v>65</v>
      </c>
      <c r="K19" s="4" t="s">
        <v>50</v>
      </c>
      <c r="L19" s="4" t="s">
        <v>102</v>
      </c>
    </row>
    <row r="20" customFormat="false" ht="15" hidden="false" customHeight="true" outlineLevel="0" collapsed="false">
      <c r="A20" s="5" t="s">
        <v>103</v>
      </c>
      <c r="B20" s="5" t="s">
        <v>24</v>
      </c>
      <c r="C20" s="5" t="s">
        <v>25</v>
      </c>
      <c r="D20" s="5" t="s">
        <v>26</v>
      </c>
      <c r="E20" s="5" t="s">
        <v>27</v>
      </c>
      <c r="F20" s="5" t="s">
        <v>104</v>
      </c>
      <c r="G20" s="5" t="s">
        <v>105</v>
      </c>
      <c r="H20" s="5" t="n">
        <f aca="true">IF(G20&lt;&gt;"",INT(G20-F20),INT(TODAY()-F20))</f>
        <v>4</v>
      </c>
      <c r="I20" s="5" t="s">
        <v>37</v>
      </c>
      <c r="J20" s="5" t="s">
        <v>86</v>
      </c>
      <c r="K20" s="5" t="s">
        <v>21</v>
      </c>
      <c r="L20" s="5" t="s">
        <v>106</v>
      </c>
    </row>
    <row r="21" customFormat="false" ht="15" hidden="false" customHeight="true" outlineLevel="0" collapsed="false">
      <c r="A21" s="4" t="s">
        <v>107</v>
      </c>
      <c r="B21" s="4" t="s">
        <v>34</v>
      </c>
      <c r="C21" s="4" t="s">
        <v>41</v>
      </c>
      <c r="D21" s="4" t="s">
        <v>35</v>
      </c>
      <c r="E21" s="4" t="s">
        <v>27</v>
      </c>
      <c r="F21" s="4" t="s">
        <v>96</v>
      </c>
      <c r="G21" s="4" t="s">
        <v>108</v>
      </c>
      <c r="H21" s="4" t="n">
        <f aca="true">IF(G21&lt;&gt;"",INT(G21-F21),INT(TODAY()-F21))</f>
        <v>4</v>
      </c>
      <c r="I21" s="4" t="s">
        <v>44</v>
      </c>
      <c r="J21" s="4" t="s">
        <v>44</v>
      </c>
      <c r="K21" s="4" t="s">
        <v>38</v>
      </c>
      <c r="L21" s="4" t="s">
        <v>109</v>
      </c>
    </row>
    <row r="22" customFormat="false" ht="15" hidden="false" customHeight="true" outlineLevel="0" collapsed="false">
      <c r="A22" s="5" t="s">
        <v>110</v>
      </c>
      <c r="B22" s="5" t="s">
        <v>47</v>
      </c>
      <c r="C22" s="5" t="s">
        <v>15</v>
      </c>
      <c r="D22" s="5" t="s">
        <v>48</v>
      </c>
      <c r="E22" s="5" t="s">
        <v>17</v>
      </c>
      <c r="F22" s="5" t="s">
        <v>111</v>
      </c>
      <c r="G22" s="5"/>
      <c r="H22" s="5" t="n">
        <f aca="true">IF(G22&lt;&gt;"",INT(G22-F22),INT(TODAY()-F22))</f>
        <v>875</v>
      </c>
      <c r="I22" s="5" t="s">
        <v>20</v>
      </c>
      <c r="J22" s="5" t="s">
        <v>50</v>
      </c>
      <c r="K22" s="5" t="s">
        <v>49</v>
      </c>
      <c r="L22" s="5" t="s">
        <v>112</v>
      </c>
    </row>
    <row r="25" customFormat="false" ht="15" hidden="false" customHeight="true" outlineLevel="0" collapsed="false">
      <c r="A25" s="8" t="s">
        <v>116</v>
      </c>
    </row>
    <row r="26" customFormat="false" ht="15" hidden="false" customHeight="true" outlineLevel="0" collapsed="false">
      <c r="A26" s="3" t="s">
        <v>4</v>
      </c>
      <c r="B26" s="3" t="s">
        <v>5</v>
      </c>
    </row>
    <row r="27" customFormat="false" ht="15" hidden="false" customHeight="true" outlineLevel="0" collapsed="false">
      <c r="A27" s="9" t="s">
        <v>48</v>
      </c>
      <c r="B27" s="9" t="s">
        <v>17</v>
      </c>
    </row>
    <row r="30" customFormat="false" ht="15" hidden="false" customHeight="true" outlineLevel="0" collapsed="false">
      <c r="A30" s="8" t="s">
        <v>117</v>
      </c>
    </row>
    <row r="31" customFormat="false" ht="23.25" hidden="false" customHeight="true" outlineLevel="0" collapsed="false">
      <c r="A31" s="3" t="s">
        <v>118</v>
      </c>
    </row>
    <row r="32" customFormat="false" ht="15" hidden="false" customHeight="true" outlineLevel="0" collapsed="false">
      <c r="A32" s="10" t="b">
        <f aca="false">H3&gt;10</f>
        <v>1</v>
      </c>
    </row>
    <row r="34" customFormat="false" ht="14.25" hidden="false" customHeight="true" outlineLevel="0" collapsed="false">
      <c r="A34" s="1" t="s">
        <v>119</v>
      </c>
    </row>
    <row r="35" customFormat="false" ht="14.25" hidden="false" customHeight="true" outlineLevel="0" collapsed="false">
      <c r="A35" s="1" t="s">
        <v>1</v>
      </c>
      <c r="B35" s="1" t="s">
        <v>2</v>
      </c>
      <c r="C35" s="1" t="s">
        <v>3</v>
      </c>
      <c r="D35" s="1" t="s">
        <v>4</v>
      </c>
      <c r="E35" s="1" t="s">
        <v>5</v>
      </c>
      <c r="F35" s="1" t="s">
        <v>6</v>
      </c>
      <c r="G35" s="1" t="s">
        <v>7</v>
      </c>
      <c r="H35" s="1" t="s">
        <v>8</v>
      </c>
      <c r="I35" s="1" t="s">
        <v>9</v>
      </c>
      <c r="J35" s="1" t="s">
        <v>10</v>
      </c>
      <c r="K35" s="1" t="s">
        <v>11</v>
      </c>
      <c r="L35" s="1" t="s">
        <v>12</v>
      </c>
    </row>
    <row r="36" customFormat="false" ht="14.25" hidden="false" customHeight="true" outlineLevel="0" collapsed="false">
      <c r="A36" s="1" t="str">
        <f aca="false">INDEX(Dataset!$A:$A,MATCH("BUG005",Dataset!$A:$A,0))</f>
        <v>BUG005</v>
      </c>
      <c r="B36" s="1" t="str">
        <f aca="false">IFERROR(INDEX(Dataset!$B:$B,MATCH("BUG005",Dataset!$A:$A,0)),"")</f>
        <v>Payments</v>
      </c>
      <c r="C36" s="1" t="str">
        <f aca="false">IFERROR(INDEX(Dataset!$C:$C,MATCH("BUG005",Dataset!$A:$A,0)),"")</f>
        <v>Bob</v>
      </c>
      <c r="D36" s="1" t="str">
        <f aca="false">IFERROR(INDEX(Dataset!$D:$D,MATCH("BUG005",Dataset!$A:$A,0)),"")</f>
        <v>Critical</v>
      </c>
      <c r="E36" s="1" t="str">
        <f aca="false">IFERROR(INDEX(Dataset!$E:$E,MATCH("BUG005",Dataset!$A:$A,0)),"")</f>
        <v>Open</v>
      </c>
      <c r="F36" s="1" t="str">
        <f aca="false">IFERROR(INDEX(Dataset!$F:$F,MATCH("BUG005",Dataset!$A:$A,0)),"")</f>
        <v>2024-01-10</v>
      </c>
      <c r="G36" s="1" t="str">
        <f aca="false">IF(INDEX(Dataset!$G:$G,MATCH("BUG005",Dataset!$A:$A,0))="","",INDEX(Dataset!$G:$G,MATCH("BUG005",Dataset!$A:$A,0)))</f>
        <v/>
      </c>
      <c r="H36" s="1" t="n">
        <f aca="false">IFERROR(INDEX(Dataset!$H:$H,MATCH("BUG005",Dataset!$A:$A,0)),"")</f>
        <v>891</v>
      </c>
      <c r="I36" s="1" t="str">
        <f aca="false">IFERROR(INDEX(Dataset!$I:$I,MATCH("BUG005",Dataset!$A:$A,0)),"")</f>
        <v>8</v>
      </c>
      <c r="J36" s="1" t="str">
        <f aca="false">IFERROR(INDEX(Dataset!$J:$J,MATCH("BUG005",Dataset!$A:$A,0)),"")</f>
        <v>5</v>
      </c>
      <c r="K36" s="1" t="str">
        <f aca="false">IFERROR(INDEX(Dataset!$K:$K,MATCH("BUG005",Dataset!$A:$A,0)),"")</f>
        <v>3</v>
      </c>
      <c r="L36" s="1" t="str">
        <f aca="false">IFERROR(INDEX(Dataset!$L:$L,MATCH("BUG005",Dataset!$A:$A,0)),"")</f>
        <v>Data loss risk</v>
      </c>
    </row>
    <row r="37" customFormat="false" ht="14.25" hidden="false" customHeight="true" outlineLevel="0" collapsed="false">
      <c r="A37" s="1" t="str">
        <f aca="false">INDEX(Dataset!$A:$A,MATCH("BUG012",Dataset!$A:$A,0))</f>
        <v>BUG012</v>
      </c>
      <c r="B37" s="1" t="str">
        <f aca="false">IFERROR(INDEX(Dataset!$B:$B,MATCH("BUG012",Dataset!$A:$A,0)),"")</f>
        <v>Payments</v>
      </c>
      <c r="C37" s="1" t="str">
        <f aca="false">IFERROR(INDEX(Dataset!$C:$C,MATCH("BUG012",Dataset!$A:$A,0)),"")</f>
        <v>Bob</v>
      </c>
      <c r="D37" s="1" t="str">
        <f aca="false">IFERROR(INDEX(Dataset!$D:$D,MATCH("BUG012",Dataset!$A:$A,0)),"")</f>
        <v>Critical</v>
      </c>
      <c r="E37" s="1" t="str">
        <f aca="false">IFERROR(INDEX(Dataset!$E:$E,MATCH("BUG012",Dataset!$A:$A,0)),"")</f>
        <v>Open</v>
      </c>
      <c r="F37" s="1" t="str">
        <f aca="false">IFERROR(INDEX(Dataset!$F:$F,MATCH("BUG012",Dataset!$A:$A,0)),"")</f>
        <v>2024-01-18</v>
      </c>
      <c r="G37" s="1" t="str">
        <f aca="false">IF(INDEX(Dataset!$G:$G,MATCH("BUG012",Dataset!$A:$A,0))="","",INDEX(Dataset!$G:$G,MATCH("BUG012",Dataset!$A:$A,0)))</f>
        <v/>
      </c>
      <c r="H37" s="1" t="n">
        <f aca="false">IFERROR(INDEX(Dataset!$H:$H,MATCH("BUG012",Dataset!$A:$A,0)),"")</f>
        <v>883</v>
      </c>
      <c r="I37" s="1" t="str">
        <f aca="false">IFERROR(INDEX(Dataset!$I:$I,MATCH("BUG012",Dataset!$A:$A,0)),"")</f>
        <v>7</v>
      </c>
      <c r="J37" s="1" t="str">
        <f aca="false">IFERROR(INDEX(Dataset!$J:$J,MATCH("BUG012",Dataset!$A:$A,0)),"")</f>
        <v>4</v>
      </c>
      <c r="K37" s="1" t="str">
        <f aca="false">IFERROR(INDEX(Dataset!$K:$K,MATCH("BUG012",Dataset!$A:$A,0)),"")</f>
        <v>3</v>
      </c>
      <c r="L37" s="1" t="str">
        <f aca="false">IFERROR(INDEX(Dataset!$L:$L,MATCH("BUG012",Dataset!$A:$A,0)),"")</f>
        <v>Payment fail</v>
      </c>
    </row>
    <row r="38" customFormat="false" ht="14.25" hidden="false" customHeight="true" outlineLevel="0" collapsed="false">
      <c r="A38" s="1" t="str">
        <f aca="false">INDEX(Dataset!$A:$A,MATCH("BUG020",Dataset!$A:$A,0))</f>
        <v>BUG020</v>
      </c>
      <c r="B38" s="1" t="str">
        <f aca="false">IFERROR(INDEX(Dataset!$B:$B,MATCH("BUG020",Dataset!$A:$A,0)),"")</f>
        <v>Payments</v>
      </c>
      <c r="C38" s="1" t="str">
        <f aca="false">IFERROR(INDEX(Dataset!$C:$C,MATCH("BUG020",Dataset!$A:$A,0)),"")</f>
        <v>Alice</v>
      </c>
      <c r="D38" s="1" t="str">
        <f aca="false">IFERROR(INDEX(Dataset!$D:$D,MATCH("BUG020",Dataset!$A:$A,0)),"")</f>
        <v>Critical</v>
      </c>
      <c r="E38" s="1" t="str">
        <f aca="false">IFERROR(INDEX(Dataset!$E:$E,MATCH("BUG020",Dataset!$A:$A,0)),"")</f>
        <v>Open</v>
      </c>
      <c r="F38" s="1" t="str">
        <f aca="false">IFERROR(INDEX(Dataset!$F:$F,MATCH("BUG020",Dataset!$A:$A,0)),"")</f>
        <v>2024-01-26</v>
      </c>
      <c r="G38" s="1" t="str">
        <f aca="false">IF(INDEX(Dataset!$G:$G,MATCH("BUG020",Dataset!$A:$A,0))="","",INDEX(Dataset!$G:$G,MATCH("BUG020",Dataset!$A:$A,0)))</f>
        <v/>
      </c>
      <c r="H38" s="1" t="n">
        <f aca="false">IFERROR(INDEX(Dataset!$H:$H,MATCH("BUG020",Dataset!$A:$A,0)),"")</f>
        <v>875</v>
      </c>
      <c r="I38" s="1" t="str">
        <f aca="false">IFERROR(INDEX(Dataset!$I:$I,MATCH("BUG020",Dataset!$A:$A,0)),"")</f>
        <v>8</v>
      </c>
      <c r="J38" s="1" t="str">
        <f aca="false">IFERROR(INDEX(Dataset!$J:$J,MATCH("BUG020",Dataset!$A:$A,0)),"")</f>
        <v>3</v>
      </c>
      <c r="K38" s="1" t="str">
        <f aca="false">IFERROR(INDEX(Dataset!$K:$K,MATCH("BUG020",Dataset!$A:$A,0)),"")</f>
        <v>5</v>
      </c>
      <c r="L38" s="1" t="str">
        <f aca="false">IFERROR(INDEX(Dataset!$L:$L,MATCH("BUG020",Dataset!$A:$A,0)),"")</f>
        <v>Amount mismatch</v>
      </c>
    </row>
    <row r="40" customFormat="false" ht="14.25" hidden="false" customHeight="true" outlineLevel="0" collapsed="false">
      <c r="A40" s="1" t="s">
        <v>120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7" activeCellId="0" sqref="A2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6" min="6" style="1" width="12"/>
    <col collapsed="false" customWidth="true" hidden="false" outlineLevel="0" max="7" min="7" style="1" width="19"/>
    <col collapsed="false" customWidth="true" hidden="false" outlineLevel="0" max="8" min="8" style="1" width="70.67"/>
  </cols>
  <sheetData>
    <row r="1" customFormat="false" ht="15" hidden="false" customHeight="true" outlineLevel="0" collapsed="false">
      <c r="A1" s="6" t="s">
        <v>121</v>
      </c>
      <c r="B1" s="6"/>
      <c r="C1" s="6"/>
      <c r="D1" s="6"/>
      <c r="E1" s="6"/>
      <c r="F1" s="6"/>
      <c r="G1" s="6"/>
      <c r="H1" s="6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4</v>
      </c>
      <c r="D2" s="3" t="s">
        <v>5</v>
      </c>
      <c r="E2" s="3" t="s">
        <v>3</v>
      </c>
      <c r="F2" s="3" t="s">
        <v>8</v>
      </c>
      <c r="G2" s="3" t="s">
        <v>122</v>
      </c>
      <c r="H2" s="3" t="s">
        <v>123</v>
      </c>
    </row>
    <row r="3" customFormat="false" ht="15" hidden="false" customHeight="true" outlineLevel="0" collapsed="false">
      <c r="A3" s="4" t="s">
        <v>46</v>
      </c>
      <c r="B3" s="4" t="s">
        <v>47</v>
      </c>
      <c r="C3" s="4" t="s">
        <v>48</v>
      </c>
      <c r="D3" s="4" t="s">
        <v>17</v>
      </c>
      <c r="E3" s="4" t="s">
        <v>25</v>
      </c>
      <c r="F3" s="4" t="n">
        <f aca="false">RANDBETWEEN(1,30)</f>
        <v>9</v>
      </c>
      <c r="G3" s="4" t="n">
        <f aca="false">IF(C3="Critical",1,IF(C3="High",2,IF(C3="Medium",3,4)))</f>
        <v>1</v>
      </c>
      <c r="H3" s="11" t="s">
        <v>124</v>
      </c>
    </row>
    <row r="4" customFormat="false" ht="15" hidden="false" customHeight="true" outlineLevel="0" collapsed="false">
      <c r="A4" s="5" t="s">
        <v>61</v>
      </c>
      <c r="B4" s="5" t="s">
        <v>47</v>
      </c>
      <c r="C4" s="5" t="s">
        <v>48</v>
      </c>
      <c r="D4" s="5" t="s">
        <v>27</v>
      </c>
      <c r="E4" s="5" t="s">
        <v>15</v>
      </c>
      <c r="F4" s="5" t="n">
        <f aca="false">RANDBETWEEN(1,30)</f>
        <v>2</v>
      </c>
      <c r="G4" s="5" t="n">
        <f aca="false">IF(C4="Critical",1,IF(C4="High",2,IF(C4="Medium",3,4)))</f>
        <v>1</v>
      </c>
      <c r="H4" s="5"/>
    </row>
    <row r="5" customFormat="false" ht="15" hidden="false" customHeight="true" outlineLevel="0" collapsed="false">
      <c r="A5" s="4" t="s">
        <v>79</v>
      </c>
      <c r="B5" s="4" t="s">
        <v>47</v>
      </c>
      <c r="C5" s="4" t="s">
        <v>48</v>
      </c>
      <c r="D5" s="4" t="s">
        <v>17</v>
      </c>
      <c r="E5" s="4" t="s">
        <v>25</v>
      </c>
      <c r="F5" s="4" t="n">
        <f aca="false">RANDBETWEEN(1,30)</f>
        <v>28</v>
      </c>
      <c r="G5" s="4" t="n">
        <f aca="false">IF(C5="Critical",1,IF(C5="High",2,IF(C5="Medium",3,4)))</f>
        <v>1</v>
      </c>
      <c r="H5" s="4"/>
    </row>
    <row r="6" customFormat="false" ht="15" hidden="false" customHeight="true" outlineLevel="0" collapsed="false">
      <c r="A6" s="5" t="s">
        <v>95</v>
      </c>
      <c r="B6" s="5" t="s">
        <v>47</v>
      </c>
      <c r="C6" s="5" t="s">
        <v>48</v>
      </c>
      <c r="D6" s="5" t="s">
        <v>27</v>
      </c>
      <c r="E6" s="5" t="s">
        <v>41</v>
      </c>
      <c r="F6" s="5" t="n">
        <f aca="false">RANDBETWEEN(1,30)</f>
        <v>28</v>
      </c>
      <c r="G6" s="5" t="n">
        <f aca="false">IF(C6="Critical",1,IF(C6="High",2,IF(C6="Medium",3,4)))</f>
        <v>1</v>
      </c>
      <c r="H6" s="5"/>
    </row>
    <row r="7" customFormat="false" ht="15" hidden="false" customHeight="true" outlineLevel="0" collapsed="false">
      <c r="A7" s="4" t="s">
        <v>110</v>
      </c>
      <c r="B7" s="4" t="s">
        <v>47</v>
      </c>
      <c r="C7" s="4" t="s">
        <v>48</v>
      </c>
      <c r="D7" s="4" t="s">
        <v>17</v>
      </c>
      <c r="E7" s="4" t="s">
        <v>15</v>
      </c>
      <c r="F7" s="4" t="n">
        <f aca="false">RANDBETWEEN(1,30)</f>
        <v>4</v>
      </c>
      <c r="G7" s="4" t="n">
        <f aca="false">IF(C7="Critical",1,IF(C7="High",2,IF(C7="Medium",3,4)))</f>
        <v>1</v>
      </c>
      <c r="H7" s="4"/>
    </row>
    <row r="8" customFormat="false" ht="15" hidden="false" customHeight="true" outlineLevel="0" collapsed="false">
      <c r="A8" s="5" t="s">
        <v>13</v>
      </c>
      <c r="B8" s="5" t="s">
        <v>14</v>
      </c>
      <c r="C8" s="5" t="s">
        <v>16</v>
      </c>
      <c r="D8" s="5" t="s">
        <v>17</v>
      </c>
      <c r="E8" s="5" t="s">
        <v>15</v>
      </c>
      <c r="F8" s="5" t="n">
        <f aca="false">RANDBETWEEN(1,30)</f>
        <v>25</v>
      </c>
      <c r="G8" s="5" t="n">
        <f aca="false">IF(C8="Critical",1,IF(C8="High",2,IF(C8="Medium",3,4)))</f>
        <v>2</v>
      </c>
      <c r="H8" s="5"/>
    </row>
    <row r="9" customFormat="false" ht="15" hidden="false" customHeight="true" outlineLevel="0" collapsed="false">
      <c r="A9" s="4" t="s">
        <v>40</v>
      </c>
      <c r="B9" s="4" t="s">
        <v>14</v>
      </c>
      <c r="C9" s="4" t="s">
        <v>16</v>
      </c>
      <c r="D9" s="4" t="s">
        <v>27</v>
      </c>
      <c r="E9" s="4" t="s">
        <v>41</v>
      </c>
      <c r="F9" s="4" t="n">
        <f aca="false">RANDBETWEEN(1,30)</f>
        <v>23</v>
      </c>
      <c r="G9" s="4" t="n">
        <f aca="false">IF(C9="Critical",1,IF(C9="High",2,IF(C9="Medium",3,4)))</f>
        <v>2</v>
      </c>
      <c r="H9" s="4"/>
    </row>
    <row r="10" customFormat="false" ht="15" hidden="false" customHeight="true" outlineLevel="0" collapsed="false">
      <c r="A10" s="5" t="s">
        <v>67</v>
      </c>
      <c r="B10" s="5" t="s">
        <v>14</v>
      </c>
      <c r="C10" s="5" t="s">
        <v>16</v>
      </c>
      <c r="D10" s="5" t="s">
        <v>17</v>
      </c>
      <c r="E10" s="5" t="s">
        <v>25</v>
      </c>
      <c r="F10" s="5" t="n">
        <f aca="false">RANDBETWEEN(1,30)</f>
        <v>4</v>
      </c>
      <c r="G10" s="5" t="n">
        <f aca="false">IF(C10="Critical",1,IF(C10="High",2,IF(C10="Medium",3,4)))</f>
        <v>2</v>
      </c>
      <c r="H10" s="5"/>
    </row>
    <row r="11" customFormat="false" ht="15" hidden="false" customHeight="true" outlineLevel="0" collapsed="false">
      <c r="A11" s="4" t="s">
        <v>83</v>
      </c>
      <c r="B11" s="4" t="s">
        <v>14</v>
      </c>
      <c r="C11" s="4" t="s">
        <v>16</v>
      </c>
      <c r="D11" s="4" t="s">
        <v>27</v>
      </c>
      <c r="E11" s="4" t="s">
        <v>41</v>
      </c>
      <c r="F11" s="4" t="n">
        <f aca="false">RANDBETWEEN(1,30)</f>
        <v>27</v>
      </c>
      <c r="G11" s="4" t="n">
        <f aca="false">IF(C11="Critical",1,IF(C11="High",2,IF(C11="Medium",3,4)))</f>
        <v>2</v>
      </c>
      <c r="H11" s="4"/>
    </row>
    <row r="12" customFormat="false" ht="15" hidden="false" customHeight="true" outlineLevel="0" collapsed="false">
      <c r="A12" s="5" t="s">
        <v>100</v>
      </c>
      <c r="B12" s="5" t="s">
        <v>14</v>
      </c>
      <c r="C12" s="5" t="s">
        <v>16</v>
      </c>
      <c r="D12" s="5" t="s">
        <v>17</v>
      </c>
      <c r="E12" s="5" t="s">
        <v>15</v>
      </c>
      <c r="F12" s="5" t="n">
        <f aca="false">RANDBETWEEN(1,30)</f>
        <v>8</v>
      </c>
      <c r="G12" s="5" t="n">
        <f aca="false">IF(C12="Critical",1,IF(C12="High",2,IF(C12="Medium",3,4)))</f>
        <v>2</v>
      </c>
      <c r="H12" s="5"/>
    </row>
    <row r="13" customFormat="false" ht="15" hidden="false" customHeight="true" outlineLevel="0" collapsed="false">
      <c r="A13" s="4" t="s">
        <v>23</v>
      </c>
      <c r="B13" s="4" t="s">
        <v>24</v>
      </c>
      <c r="C13" s="4" t="s">
        <v>26</v>
      </c>
      <c r="D13" s="4" t="s">
        <v>27</v>
      </c>
      <c r="E13" s="4" t="s">
        <v>25</v>
      </c>
      <c r="F13" s="4" t="n">
        <f aca="false">RANDBETWEEN(1,30)</f>
        <v>24</v>
      </c>
      <c r="G13" s="4" t="n">
        <f aca="false">IF(C13="Critical",1,IF(C13="High",2,IF(C13="Medium",3,4)))</f>
        <v>3</v>
      </c>
      <c r="H13" s="4"/>
    </row>
    <row r="14" customFormat="false" ht="15" hidden="false" customHeight="true" outlineLevel="0" collapsed="false">
      <c r="A14" s="5" t="s">
        <v>52</v>
      </c>
      <c r="B14" s="5" t="s">
        <v>24</v>
      </c>
      <c r="C14" s="5" t="s">
        <v>26</v>
      </c>
      <c r="D14" s="5" t="s">
        <v>27</v>
      </c>
      <c r="E14" s="5" t="s">
        <v>15</v>
      </c>
      <c r="F14" s="5" t="n">
        <f aca="false">RANDBETWEEN(1,30)</f>
        <v>5</v>
      </c>
      <c r="G14" s="5" t="n">
        <f aca="false">IF(C14="Critical",1,IF(C14="High",2,IF(C14="Medium",3,4)))</f>
        <v>3</v>
      </c>
      <c r="H14" s="5"/>
    </row>
    <row r="15" customFormat="false" ht="15" hidden="false" customHeight="true" outlineLevel="0" collapsed="false">
      <c r="A15" s="4" t="s">
        <v>70</v>
      </c>
      <c r="B15" s="4" t="s">
        <v>24</v>
      </c>
      <c r="C15" s="4" t="s">
        <v>26</v>
      </c>
      <c r="D15" s="4" t="s">
        <v>27</v>
      </c>
      <c r="E15" s="4" t="s">
        <v>41</v>
      </c>
      <c r="F15" s="4" t="n">
        <f aca="false">RANDBETWEEN(1,30)</f>
        <v>20</v>
      </c>
      <c r="G15" s="4" t="n">
        <f aca="false">IF(C15="Critical",1,IF(C15="High",2,IF(C15="Medium",3,4)))</f>
        <v>3</v>
      </c>
      <c r="H15" s="4"/>
    </row>
    <row r="16" customFormat="false" ht="15" hidden="false" customHeight="true" outlineLevel="0" collapsed="false">
      <c r="A16" s="5" t="s">
        <v>88</v>
      </c>
      <c r="B16" s="5" t="s">
        <v>24</v>
      </c>
      <c r="C16" s="5" t="s">
        <v>26</v>
      </c>
      <c r="D16" s="5" t="s">
        <v>17</v>
      </c>
      <c r="E16" s="5" t="s">
        <v>15</v>
      </c>
      <c r="F16" s="5" t="n">
        <f aca="false">RANDBETWEEN(1,30)</f>
        <v>21</v>
      </c>
      <c r="G16" s="5" t="n">
        <f aca="false">IF(C16="Critical",1,IF(C16="High",2,IF(C16="Medium",3,4)))</f>
        <v>3</v>
      </c>
      <c r="H16" s="5"/>
    </row>
    <row r="17" customFormat="false" ht="15" hidden="false" customHeight="true" outlineLevel="0" collapsed="false">
      <c r="A17" s="4" t="s">
        <v>103</v>
      </c>
      <c r="B17" s="4" t="s">
        <v>24</v>
      </c>
      <c r="C17" s="4" t="s">
        <v>26</v>
      </c>
      <c r="D17" s="4" t="s">
        <v>27</v>
      </c>
      <c r="E17" s="4" t="s">
        <v>25</v>
      </c>
      <c r="F17" s="4" t="n">
        <f aca="false">RANDBETWEEN(1,30)</f>
        <v>21</v>
      </c>
      <c r="G17" s="4" t="n">
        <f aca="false">IF(C17="Critical",1,IF(C17="High",2,IF(C17="Medium",3,4)))</f>
        <v>3</v>
      </c>
      <c r="H17" s="4"/>
    </row>
    <row r="18" customFormat="false" ht="15" hidden="false" customHeight="true" outlineLevel="0" collapsed="false">
      <c r="A18" s="5" t="s">
        <v>33</v>
      </c>
      <c r="B18" s="5" t="s">
        <v>34</v>
      </c>
      <c r="C18" s="5" t="s">
        <v>35</v>
      </c>
      <c r="D18" s="5" t="s">
        <v>17</v>
      </c>
      <c r="E18" s="5" t="s">
        <v>15</v>
      </c>
      <c r="F18" s="5" t="n">
        <f aca="false">RANDBETWEEN(1,30)</f>
        <v>25</v>
      </c>
      <c r="G18" s="5" t="n">
        <f aca="false">IF(C18="Critical",1,IF(C18="High",2,IF(C18="Medium",3,4)))</f>
        <v>4</v>
      </c>
      <c r="H18" s="5"/>
    </row>
    <row r="19" customFormat="false" ht="15" hidden="false" customHeight="true" outlineLevel="0" collapsed="false">
      <c r="A19" s="4" t="s">
        <v>57</v>
      </c>
      <c r="B19" s="4" t="s">
        <v>34</v>
      </c>
      <c r="C19" s="4" t="s">
        <v>35</v>
      </c>
      <c r="D19" s="4" t="s">
        <v>17</v>
      </c>
      <c r="E19" s="4" t="s">
        <v>41</v>
      </c>
      <c r="F19" s="4" t="n">
        <f aca="false">RANDBETWEEN(1,30)</f>
        <v>10</v>
      </c>
      <c r="G19" s="4" t="n">
        <f aca="false">IF(C19="Critical",1,IF(C19="High",2,IF(C19="Medium",3,4)))</f>
        <v>4</v>
      </c>
      <c r="H19" s="4"/>
    </row>
    <row r="20" customFormat="false" ht="15" hidden="false" customHeight="true" outlineLevel="0" collapsed="false">
      <c r="A20" s="5" t="s">
        <v>75</v>
      </c>
      <c r="B20" s="5" t="s">
        <v>34</v>
      </c>
      <c r="C20" s="5" t="s">
        <v>35</v>
      </c>
      <c r="D20" s="5" t="s">
        <v>27</v>
      </c>
      <c r="E20" s="5" t="s">
        <v>15</v>
      </c>
      <c r="F20" s="5" t="n">
        <f aca="false">RANDBETWEEN(1,30)</f>
        <v>13</v>
      </c>
      <c r="G20" s="5" t="n">
        <f aca="false">IF(C20="Critical",1,IF(C20="High",2,IF(C20="Medium",3,4)))</f>
        <v>4</v>
      </c>
      <c r="H20" s="5"/>
    </row>
    <row r="21" customFormat="false" ht="15" hidden="false" customHeight="true" outlineLevel="0" collapsed="false">
      <c r="A21" s="4" t="s">
        <v>91</v>
      </c>
      <c r="B21" s="4" t="s">
        <v>34</v>
      </c>
      <c r="C21" s="4" t="s">
        <v>35</v>
      </c>
      <c r="D21" s="4" t="s">
        <v>17</v>
      </c>
      <c r="E21" s="4" t="s">
        <v>25</v>
      </c>
      <c r="F21" s="4" t="n">
        <f aca="false">RANDBETWEEN(1,30)</f>
        <v>25</v>
      </c>
      <c r="G21" s="4" t="n">
        <f aca="false">IF(C21="Critical",1,IF(C21="High",2,IF(C21="Medium",3,4)))</f>
        <v>4</v>
      </c>
      <c r="H21" s="4"/>
    </row>
    <row r="22" customFormat="false" ht="15" hidden="false" customHeight="true" outlineLevel="0" collapsed="false">
      <c r="A22" s="5" t="s">
        <v>107</v>
      </c>
      <c r="B22" s="5" t="s">
        <v>34</v>
      </c>
      <c r="C22" s="5" t="s">
        <v>35</v>
      </c>
      <c r="D22" s="5" t="s">
        <v>27</v>
      </c>
      <c r="E22" s="5" t="s">
        <v>41</v>
      </c>
      <c r="F22" s="5" t="n">
        <f aca="false">RANDBETWEEN(1,30)</f>
        <v>3</v>
      </c>
      <c r="G22" s="5" t="n">
        <f aca="false">IF(C22="Critical",1,IF(C22="High",2,IF(C22="Medium",3,4)))</f>
        <v>4</v>
      </c>
      <c r="H22" s="5"/>
    </row>
    <row r="26" customFormat="false" ht="15" hidden="false" customHeight="true" outlineLevel="0" collapsed="false">
      <c r="A26" s="12" t="s">
        <v>125</v>
      </c>
    </row>
    <row r="27" customFormat="false" ht="15" hidden="false" customHeight="true" outlineLevel="0" collapsed="false">
      <c r="A27" s="9" t="s">
        <v>126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5"/>
    <col collapsed="false" customWidth="true" hidden="false" outlineLevel="0" max="3" min="3" style="1" width="18"/>
    <col collapsed="false" customWidth="true" hidden="false" outlineLevel="0" max="4" min="4" style="1" width="35"/>
  </cols>
  <sheetData>
    <row r="1" customFormat="false" ht="15" hidden="false" customHeight="true" outlineLevel="0" collapsed="false">
      <c r="A1" s="6" t="s">
        <v>127</v>
      </c>
      <c r="B1" s="6"/>
      <c r="C1" s="6"/>
      <c r="D1" s="6"/>
      <c r="E1" s="6"/>
    </row>
    <row r="3" customFormat="false" ht="24" hidden="false" customHeight="true" outlineLevel="0" collapsed="false">
      <c r="A3" s="13" t="s">
        <v>128</v>
      </c>
      <c r="B3" s="13" t="s">
        <v>129</v>
      </c>
      <c r="C3" s="13" t="s">
        <v>130</v>
      </c>
      <c r="D3" s="13" t="s">
        <v>131</v>
      </c>
    </row>
    <row r="4" customFormat="false" ht="15" hidden="false" customHeight="true" outlineLevel="0" collapsed="false">
      <c r="A4" s="14" t="s">
        <v>132</v>
      </c>
      <c r="B4" s="14" t="str">
        <f aca="false">HYPERLINK("#'Hyper Data Linking'!A16","Jump to anchor below")</f>
        <v>Jump to anchor below</v>
      </c>
      <c r="C4" s="14" t="s">
        <v>133</v>
      </c>
      <c r="D4" s="14" t="s">
        <v>134</v>
      </c>
    </row>
    <row r="5" customFormat="false" ht="15" hidden="false" customHeight="true" outlineLevel="0" collapsed="false">
      <c r="A5" s="14" t="s">
        <v>135</v>
      </c>
      <c r="B5" s="14" t="str">
        <f aca="false">HYPERLINK("https://www.google.com","Open Google")</f>
        <v>Open Google</v>
      </c>
      <c r="C5" s="14" t="s">
        <v>136</v>
      </c>
      <c r="D5" s="14" t="s">
        <v>137</v>
      </c>
    </row>
    <row r="6" customFormat="false" ht="14.25" hidden="false" customHeight="true" outlineLevel="0" collapsed="false">
      <c r="A6" s="1" t="s">
        <v>138</v>
      </c>
      <c r="B6" s="1" t="str">
        <f aca="false">HYPERLINK("#Dataset!A1","Go to Dataset sheet")</f>
        <v>Go to Dataset sheet</v>
      </c>
      <c r="C6" s="1" t="s">
        <v>133</v>
      </c>
      <c r="D6" s="1" t="s">
        <v>139</v>
      </c>
    </row>
    <row r="7" customFormat="false" ht="14.25" hidden="false" customHeight="true" outlineLevel="0" collapsed="false">
      <c r="A7" s="1" t="s">
        <v>140</v>
      </c>
      <c r="B7" s="1" t="str">
        <f aca="false">Dataset!B3&amp;" - "&amp;Dataset!C3</f>
        <v>Login - Alice</v>
      </c>
      <c r="C7" s="1" t="s">
        <v>141</v>
      </c>
      <c r="D7" s="1" t="s">
        <v>142</v>
      </c>
    </row>
    <row r="8" customFormat="false" ht="14.25" hidden="false" customHeight="true" outlineLevel="0" collapsed="false">
      <c r="A8" s="1" t="s">
        <v>143</v>
      </c>
      <c r="B8" s="1" t="str">
        <f aca="false">HYPERLINK("mailto:qa-lead@example.com?subject=Bug%20Tracker%20Query","Email QA Lead")</f>
        <v>Email QA Lead</v>
      </c>
      <c r="C8" s="1" t="s">
        <v>144</v>
      </c>
      <c r="D8" s="1" t="s">
        <v>145</v>
      </c>
    </row>
    <row r="16" customFormat="false" ht="15" hidden="false" customHeight="true" outlineLevel="0" collapsed="false">
      <c r="A16" s="15" t="s">
        <v>146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11" activeCellId="0" sqref="D1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8"/>
    <col collapsed="false" customWidth="true" hidden="false" outlineLevel="0" max="3" min="3" style="1" width="12"/>
    <col collapsed="false" customWidth="true" hidden="false" outlineLevel="0" max="4" min="4" style="1" width="45"/>
    <col collapsed="false" customWidth="true" hidden="false" outlineLevel="0" max="5" min="5" style="1" width="12"/>
  </cols>
  <sheetData>
    <row r="1" customFormat="false" ht="15" hidden="false" customHeight="true" outlineLevel="0" collapsed="false">
      <c r="A1" s="6" t="s">
        <v>147</v>
      </c>
      <c r="B1" s="6"/>
      <c r="C1" s="6"/>
      <c r="D1" s="6"/>
      <c r="E1" s="6"/>
    </row>
    <row r="2" customFormat="false" ht="23.25" hidden="false" customHeight="true" outlineLevel="0" collapsed="false">
      <c r="A2" s="3" t="s">
        <v>148</v>
      </c>
      <c r="B2" s="3" t="s">
        <v>149</v>
      </c>
      <c r="C2" s="3" t="s">
        <v>150</v>
      </c>
      <c r="D2" s="3" t="s">
        <v>151</v>
      </c>
      <c r="E2" s="3" t="s">
        <v>152</v>
      </c>
    </row>
    <row r="3" customFormat="false" ht="15" hidden="false" customHeight="true" outlineLevel="0" collapsed="false">
      <c r="A3" s="16" t="s">
        <v>153</v>
      </c>
      <c r="B3" s="16" t="n">
        <f aca="false">IFERROR(SUMPRODUCT(--Dataset!J3:J22)/SUMPRODUCT(--Dataset!I3:I22),0)</f>
        <v>0.852272727272727</v>
      </c>
      <c r="C3" s="17" t="n">
        <f aca="false">B3</f>
        <v>0.852272727272727</v>
      </c>
      <c r="D3" s="16" t="s">
        <v>154</v>
      </c>
      <c r="E3" s="16"/>
    </row>
    <row r="4" customFormat="false" ht="15" hidden="false" customHeight="true" outlineLevel="0" collapsed="false">
      <c r="A4" s="14" t="s">
        <v>155</v>
      </c>
      <c r="B4" s="14" t="n">
        <f aca="false">SUMPRODUCT(--Dataset!I3:I22)</f>
        <v>264</v>
      </c>
      <c r="C4" s="14" t="n">
        <f aca="false">B4</f>
        <v>264</v>
      </c>
      <c r="D4" s="14" t="s">
        <v>156</v>
      </c>
      <c r="E4" s="14"/>
    </row>
    <row r="5" customFormat="false" ht="15" hidden="false" customHeight="true" outlineLevel="0" collapsed="false">
      <c r="A5" s="16" t="s">
        <v>157</v>
      </c>
      <c r="B5" s="16" t="n">
        <f aca="false">FLOOR(87.6,5)</f>
        <v>85</v>
      </c>
      <c r="C5" s="16" t="n">
        <f aca="false">B5</f>
        <v>85</v>
      </c>
      <c r="D5" s="16" t="s">
        <v>158</v>
      </c>
      <c r="E5" s="16" t="s">
        <v>159</v>
      </c>
    </row>
    <row r="6" customFormat="false" ht="15" hidden="false" customHeight="true" outlineLevel="0" collapsed="false">
      <c r="A6" s="14" t="s">
        <v>160</v>
      </c>
      <c r="B6" s="14" t="n">
        <f aca="false">CEILING(87.6,5)</f>
        <v>90</v>
      </c>
      <c r="C6" s="14" t="n">
        <f aca="false">B6</f>
        <v>90</v>
      </c>
      <c r="D6" s="14" t="s">
        <v>161</v>
      </c>
      <c r="E6" s="14" t="s">
        <v>159</v>
      </c>
    </row>
    <row r="7" customFormat="false" ht="15" hidden="false" customHeight="true" outlineLevel="0" collapsed="false">
      <c r="A7" s="16" t="s">
        <v>162</v>
      </c>
      <c r="B7" s="16" t="n">
        <f aca="false">MROUND(87.6,5)</f>
        <v>90</v>
      </c>
      <c r="C7" s="16" t="n">
        <f aca="false">B7</f>
        <v>90</v>
      </c>
      <c r="D7" s="16" t="s">
        <v>163</v>
      </c>
      <c r="E7" s="16" t="s">
        <v>159</v>
      </c>
    </row>
    <row r="8" customFormat="false" ht="15" hidden="false" customHeight="true" outlineLevel="0" collapsed="false">
      <c r="A8" s="14" t="s">
        <v>164</v>
      </c>
      <c r="B8" s="14" t="n">
        <f aca="false">MOD(22,5)</f>
        <v>2</v>
      </c>
      <c r="C8" s="14" t="n">
        <f aca="false">B8</f>
        <v>2</v>
      </c>
      <c r="D8" s="14" t="s">
        <v>165</v>
      </c>
      <c r="E8" s="14" t="s">
        <v>59</v>
      </c>
    </row>
    <row r="9" customFormat="false" ht="15" hidden="false" customHeight="true" outlineLevel="0" collapsed="false">
      <c r="A9" s="16" t="s">
        <v>166</v>
      </c>
      <c r="B9" s="16" t="n">
        <f aca="false">QUOTIENT(22,5)</f>
        <v>4</v>
      </c>
      <c r="C9" s="16" t="n">
        <f aca="false">B9</f>
        <v>4</v>
      </c>
      <c r="D9" s="16" t="s">
        <v>167</v>
      </c>
      <c r="E9" s="16" t="s">
        <v>59</v>
      </c>
    </row>
    <row r="10" customFormat="false" ht="15" hidden="false" customHeight="true" outlineLevel="0" collapsed="false">
      <c r="A10" s="14" t="s">
        <v>168</v>
      </c>
      <c r="B10" s="14" t="n">
        <f aca="false">MOD(ROW()-2,2)</f>
        <v>0</v>
      </c>
      <c r="C10" s="14" t="n">
        <f aca="false">B10</f>
        <v>0</v>
      </c>
      <c r="D10" s="14" t="s">
        <v>169</v>
      </c>
      <c r="E10" s="14"/>
    </row>
    <row r="11" customFormat="false" ht="23.25" hidden="false" customHeight="true" outlineLevel="0" collapsed="false">
      <c r="A11" s="16" t="s">
        <v>170</v>
      </c>
      <c r="B11" s="16" t="n">
        <f aca="false">SUMPRODUCT((Dataset!D3:D22="Critical")*1,--Dataset!K3:K22)</f>
        <v>14</v>
      </c>
      <c r="C11" s="16" t="n">
        <f aca="false">B11</f>
        <v>14</v>
      </c>
      <c r="D11" s="16" t="s">
        <v>171</v>
      </c>
      <c r="E11" s="16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3" activeCellId="0" sqref="A2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2"/>
    <col collapsed="false" customWidth="true" hidden="false" outlineLevel="0" max="4" min="4" style="1" width="20"/>
  </cols>
  <sheetData>
    <row r="1" customFormat="false" ht="15" hidden="false" customHeight="true" outlineLevel="0" collapsed="false">
      <c r="A1" s="6" t="s">
        <v>172</v>
      </c>
      <c r="B1" s="6"/>
      <c r="C1" s="6"/>
      <c r="D1" s="6"/>
    </row>
    <row r="3" customFormat="false" ht="15" hidden="false" customHeight="true" outlineLevel="0" collapsed="false">
      <c r="A3" s="15" t="s">
        <v>173</v>
      </c>
    </row>
    <row r="4" customFormat="false" ht="15" hidden="false" customHeight="true" outlineLevel="0" collapsed="false">
      <c r="A4" s="3" t="s">
        <v>174</v>
      </c>
      <c r="B4" s="3" t="s">
        <v>175</v>
      </c>
      <c r="C4" s="3" t="s">
        <v>176</v>
      </c>
      <c r="D4" s="3" t="s">
        <v>177</v>
      </c>
    </row>
    <row r="5" customFormat="false" ht="15" hidden="false" customHeight="true" outlineLevel="0" collapsed="false">
      <c r="A5" s="18" t="s">
        <v>178</v>
      </c>
      <c r="B5" s="19" t="s">
        <v>179</v>
      </c>
      <c r="C5" s="19" t="s">
        <v>180</v>
      </c>
      <c r="D5" s="19" t="s">
        <v>181</v>
      </c>
    </row>
    <row r="6" customFormat="false" ht="15" hidden="false" customHeight="true" outlineLevel="0" collapsed="false">
      <c r="A6" s="20" t="s">
        <v>182</v>
      </c>
      <c r="B6" s="21" t="s">
        <v>183</v>
      </c>
      <c r="C6" s="21" t="s">
        <v>184</v>
      </c>
      <c r="D6" s="21" t="s">
        <v>185</v>
      </c>
    </row>
    <row r="7" customFormat="false" ht="15" hidden="false" customHeight="true" outlineLevel="0" collapsed="false">
      <c r="A7" s="18" t="s">
        <v>186</v>
      </c>
      <c r="B7" s="19" t="s">
        <v>187</v>
      </c>
      <c r="C7" s="19" t="s">
        <v>188</v>
      </c>
      <c r="D7" s="19" t="s">
        <v>189</v>
      </c>
    </row>
    <row r="8" customFormat="false" ht="15" hidden="false" customHeight="true" outlineLevel="0" collapsed="false">
      <c r="A8" s="21" t="s">
        <v>190</v>
      </c>
      <c r="B8" s="21" t="s">
        <v>191</v>
      </c>
      <c r="C8" s="21" t="s">
        <v>192</v>
      </c>
      <c r="D8" s="21" t="s">
        <v>193</v>
      </c>
    </row>
    <row r="9" customFormat="false" ht="15" hidden="false" customHeight="true" outlineLevel="0" collapsed="false">
      <c r="A9" s="18" t="s">
        <v>194</v>
      </c>
      <c r="B9" s="19" t="s">
        <v>195</v>
      </c>
      <c r="C9" s="19" t="s">
        <v>196</v>
      </c>
      <c r="D9" s="19" t="s">
        <v>197</v>
      </c>
    </row>
    <row r="10" customFormat="false" ht="15" hidden="false" customHeight="true" outlineLevel="0" collapsed="false">
      <c r="A10" s="20" t="s">
        <v>198</v>
      </c>
      <c r="B10" s="21" t="s">
        <v>199</v>
      </c>
      <c r="C10" s="21" t="s">
        <v>200</v>
      </c>
      <c r="D10" s="21" t="s">
        <v>201</v>
      </c>
    </row>
    <row r="11" customFormat="false" ht="15" hidden="false" customHeight="true" outlineLevel="0" collapsed="false">
      <c r="A11" s="18" t="s">
        <v>202</v>
      </c>
      <c r="B11" s="19" t="s">
        <v>203</v>
      </c>
      <c r="C11" s="19" t="s">
        <v>204</v>
      </c>
      <c r="D11" s="19" t="s">
        <v>205</v>
      </c>
    </row>
    <row r="14" customFormat="false" ht="15" hidden="false" customHeight="true" outlineLevel="0" collapsed="false">
      <c r="A14" s="12" t="s">
        <v>206</v>
      </c>
    </row>
    <row r="15" customFormat="false" ht="15" hidden="false" customHeight="true" outlineLevel="0" collapsed="false">
      <c r="A15" s="3" t="s">
        <v>1</v>
      </c>
      <c r="B15" s="3" t="s">
        <v>2</v>
      </c>
      <c r="C15" s="3" t="s">
        <v>4</v>
      </c>
      <c r="D15" s="3" t="s">
        <v>207</v>
      </c>
    </row>
    <row r="16" customFormat="false" ht="15" hidden="false" customHeight="true" outlineLevel="0" collapsed="false">
      <c r="A16" s="19" t="s">
        <v>13</v>
      </c>
      <c r="B16" s="19" t="s">
        <v>14</v>
      </c>
      <c r="C16" s="19" t="s">
        <v>16</v>
      </c>
      <c r="D16" s="19" t="str">
        <f aca="false">A16&amp;" | "&amp;B16&amp;" | "&amp;C16</f>
        <v>BUG001 | Login | High</v>
      </c>
    </row>
    <row r="17" customFormat="false" ht="15" hidden="false" customHeight="true" outlineLevel="0" collapsed="false">
      <c r="A17" s="19" t="s">
        <v>23</v>
      </c>
      <c r="B17" s="19" t="s">
        <v>24</v>
      </c>
      <c r="C17" s="19" t="s">
        <v>26</v>
      </c>
      <c r="D17" s="19" t="str">
        <f aca="false">A17&amp;" | "&amp;B17&amp;" | "&amp;C17</f>
        <v>BUG002 | Dashboard | Medium</v>
      </c>
    </row>
    <row r="18" customFormat="false" ht="15" hidden="false" customHeight="true" outlineLevel="0" collapsed="false">
      <c r="A18" s="19" t="s">
        <v>33</v>
      </c>
      <c r="B18" s="19" t="s">
        <v>34</v>
      </c>
      <c r="C18" s="19" t="s">
        <v>35</v>
      </c>
      <c r="D18" s="19" t="str">
        <f aca="false">A18&amp;" | "&amp;B18&amp;" | "&amp;C18</f>
        <v>BUG003 | Reports | Low</v>
      </c>
    </row>
    <row r="19" customFormat="false" ht="15" hidden="false" customHeight="true" outlineLevel="0" collapsed="false">
      <c r="A19" s="19" t="s">
        <v>40</v>
      </c>
      <c r="B19" s="19" t="s">
        <v>14</v>
      </c>
      <c r="C19" s="19" t="s">
        <v>16</v>
      </c>
      <c r="D19" s="19" t="str">
        <f aca="false">A19&amp;" | "&amp;B19&amp;" | "&amp;C19</f>
        <v>BUG004 | Login | High</v>
      </c>
    </row>
    <row r="20" customFormat="false" ht="15" hidden="false" customHeight="true" outlineLevel="0" collapsed="false">
      <c r="A20" s="19" t="s">
        <v>46</v>
      </c>
      <c r="B20" s="19" t="s">
        <v>47</v>
      </c>
      <c r="C20" s="19" t="s">
        <v>48</v>
      </c>
      <c r="D20" s="19" t="str">
        <f aca="false">A20&amp;" | "&amp;B20&amp;" | "&amp;C20</f>
        <v>BUG005 | Payments | Critical</v>
      </c>
    </row>
    <row r="23" customFormat="false" ht="14.25" hidden="false" customHeight="true" outlineLevel="0" collapsed="false">
      <c r="A23" s="1" t="s">
        <v>208</v>
      </c>
    </row>
    <row r="24" customFormat="false" ht="14.25" hidden="false" customHeight="true" outlineLevel="0" collapsed="false">
      <c r="A24" s="1" t="s">
        <v>209</v>
      </c>
      <c r="B24" s="1" t="s">
        <v>210</v>
      </c>
      <c r="C24" s="1" t="s">
        <v>211</v>
      </c>
      <c r="D24" s="1" t="s">
        <v>212</v>
      </c>
    </row>
    <row r="25" customFormat="false" ht="14.25" hidden="false" customHeight="true" outlineLevel="0" collapsed="false">
      <c r="A25" s="1" t="s">
        <v>213</v>
      </c>
      <c r="B25" s="1" t="str">
        <f aca="false">LEFT(A25,FIND("-",A25)-1)</f>
        <v>BUG001</v>
      </c>
      <c r="C25" s="1" t="str">
        <f aca="false">MID(A25,FIND("-",A25)+1,FIND("-",A25,FIND("-",A25)+1)-FIND("-",A25)-1)</f>
        <v>Login</v>
      </c>
      <c r="D25" s="1" t="str">
        <f aca="false">TRIM(RIGHT(A25,LEN(A25)-FIND("-",A25,FIND("-",A25)+1)))</f>
        <v>High</v>
      </c>
    </row>
    <row r="26" customFormat="false" ht="14.25" hidden="false" customHeight="true" outlineLevel="0" collapsed="false">
      <c r="A26" s="1" t="s">
        <v>214</v>
      </c>
    </row>
    <row r="28" customFormat="false" ht="14.25" hidden="false" customHeight="true" outlineLevel="0" collapsed="false">
      <c r="A28" s="1" t="s">
        <v>215</v>
      </c>
    </row>
    <row r="29" customFormat="false" ht="14.25" hidden="false" customHeight="true" outlineLevel="0" collapsed="false">
      <c r="A29" s="1" t="s">
        <v>216</v>
      </c>
    </row>
    <row r="31" customFormat="false" ht="14.25" hidden="false" customHeight="true" outlineLevel="0" collapsed="false">
      <c r="A31" s="1" t="s">
        <v>217</v>
      </c>
    </row>
    <row r="32" customFormat="false" ht="14.25" hidden="false" customHeight="true" outlineLevel="0" collapsed="false">
      <c r="A32" s="1" t="s">
        <v>4</v>
      </c>
      <c r="B32" s="1" t="s">
        <v>218</v>
      </c>
    </row>
    <row r="33" customFormat="false" ht="14.25" hidden="false" customHeight="true" outlineLevel="0" collapsed="false">
      <c r="A33" s="1" t="s">
        <v>48</v>
      </c>
      <c r="B33" s="1" t="n">
        <f aca="false">COUNTIF(Dataset!$D:$D,"Critical")</f>
        <v>5</v>
      </c>
    </row>
    <row r="34" customFormat="false" ht="14.25" hidden="false" customHeight="true" outlineLevel="0" collapsed="false">
      <c r="A34" s="1" t="s">
        <v>16</v>
      </c>
      <c r="B34" s="1" t="n">
        <f aca="false">COUNTIF(Dataset!$D:$D,"High")</f>
        <v>5</v>
      </c>
    </row>
    <row r="35" customFormat="false" ht="14.25" hidden="false" customHeight="true" outlineLevel="0" collapsed="false">
      <c r="A35" s="1" t="s">
        <v>26</v>
      </c>
      <c r="B35" s="1" t="n">
        <f aca="false">COUNTIF(Dataset!$D:$D,"Medium")</f>
        <v>5</v>
      </c>
    </row>
    <row r="36" customFormat="false" ht="14.25" hidden="false" customHeight="true" outlineLevel="0" collapsed="false">
      <c r="A36" s="1" t="s">
        <v>35</v>
      </c>
      <c r="B36" s="1" t="n">
        <f aca="false">COUNTIF(Dataset!$D:$D,"Low")</f>
        <v>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2026-06-09T04:11:16Z</dcterms:created>
  <dc:creator>openpyxl</dc:creator>
  <dc:description/>
  <dc:language>en-US</dc:language>
  <cp:lastModifiedBy/>
  <dcterms:modified xsi:type="dcterms:W3CDTF">2026-06-19T11:13:45Z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