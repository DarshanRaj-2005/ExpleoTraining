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rishwin Joseph\Downloads\"/>
    </mc:Choice>
  </mc:AlternateContent>
  <xr:revisionPtr revIDLastSave="0" documentId="13_ncr:1_{34AF939F-3612-4094-A3FA-62C5F0F31A80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Dataset" sheetId="1" r:id="rId1"/>
    <sheet name="Lookup_Logical" sheetId="2" r:id="rId2"/>
    <sheet name="Charts" sheetId="3" r:id="rId3"/>
    <sheet name="DateTime_Text" sheetId="4" r:id="rId4"/>
    <sheet name="Validation_CondFormat" sheetId="5" r:id="rId5"/>
    <sheet name="AdvFilter_Sort" sheetId="6" r:id="rId6"/>
    <sheet name="Summarize_Outline" sheetId="7" r:id="rId7"/>
    <sheet name="Protect_Import_Extra" sheetId="8" r:id="rId8"/>
    <sheet name="Hyper_DataLinking" sheetId="9" r:id="rId9"/>
  </sheets>
  <definedNames>
    <definedName name="_xlnm._FilterDatabase" localSheetId="5" hidden="1">AdvFilter_Sort!$A$3:$A$5</definedName>
    <definedName name="_xlnm._FilterDatabase" localSheetId="0" hidden="1">Dataset!$A$1:$O$21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9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3" i="5"/>
  <c r="B8" i="9"/>
  <c r="B7" i="9"/>
  <c r="B6" i="9"/>
  <c r="B5" i="9"/>
  <c r="B4" i="9"/>
  <c r="B3" i="9"/>
  <c r="C5" i="8"/>
  <c r="C4" i="8"/>
  <c r="C3" i="8"/>
  <c r="B26" i="7"/>
  <c r="B25" i="7"/>
  <c r="B24" i="7"/>
  <c r="B23" i="7"/>
  <c r="B16" i="6" a="1"/>
  <c r="B15" i="6"/>
  <c r="B14" i="6"/>
  <c r="B9" i="6" a="1"/>
  <c r="B11" i="6"/>
  <c r="B13" i="6"/>
  <c r="B12" i="6"/>
  <c r="B10" i="6" a="1"/>
  <c r="B8" i="6" a="1"/>
  <c r="I17" i="4"/>
  <c r="I18" i="4"/>
  <c r="I19" i="4"/>
  <c r="I20" i="4"/>
  <c r="I21" i="4"/>
  <c r="I22" i="4"/>
  <c r="I23" i="4"/>
  <c r="I24" i="4"/>
  <c r="I25" i="4"/>
  <c r="I16" i="4"/>
  <c r="G17" i="4"/>
  <c r="G18" i="4"/>
  <c r="G19" i="4"/>
  <c r="G20" i="4"/>
  <c r="G21" i="4"/>
  <c r="G22" i="4"/>
  <c r="G23" i="4"/>
  <c r="G24" i="4"/>
  <c r="G25" i="4"/>
  <c r="G16" i="4"/>
  <c r="B17" i="4"/>
  <c r="B18" i="4"/>
  <c r="B19" i="4"/>
  <c r="B20" i="4"/>
  <c r="B21" i="4"/>
  <c r="B22" i="4"/>
  <c r="B23" i="4"/>
  <c r="B24" i="4"/>
  <c r="B25" i="4"/>
  <c r="B16" i="4"/>
  <c r="B3" i="4"/>
  <c r="H4" i="4"/>
  <c r="H5" i="4"/>
  <c r="H6" i="4"/>
  <c r="H7" i="4"/>
  <c r="H8" i="4"/>
  <c r="H9" i="4"/>
  <c r="H10" i="4"/>
  <c r="H11" i="4"/>
  <c r="H12" i="4"/>
  <c r="H3" i="4"/>
  <c r="C4" i="4"/>
  <c r="C5" i="4"/>
  <c r="C6" i="4"/>
  <c r="C7" i="4"/>
  <c r="C8" i="4"/>
  <c r="C9" i="4"/>
  <c r="C10" i="4"/>
  <c r="C11" i="4"/>
  <c r="C12" i="4"/>
  <c r="C3" i="4"/>
  <c r="B4" i="4"/>
  <c r="B5" i="4"/>
  <c r="B6" i="4"/>
  <c r="B7" i="4"/>
  <c r="B8" i="4"/>
  <c r="B9" i="4"/>
  <c r="B10" i="4"/>
  <c r="B11" i="4"/>
  <c r="B12" i="4"/>
  <c r="B3" i="2"/>
  <c r="D16" i="2"/>
  <c r="E4" i="2" a="1"/>
  <c r="E5" i="2" a="1"/>
  <c r="E6" i="2" a="1"/>
  <c r="E7" i="2" a="1"/>
  <c r="E8" i="2" a="1"/>
  <c r="E9" i="2" a="1"/>
  <c r="E10" i="2" a="1"/>
  <c r="E11" i="2" a="1"/>
  <c r="E12" i="2" a="1"/>
  <c r="E3" i="2" a="1"/>
  <c r="C3" i="2" a="1"/>
  <c r="D17" i="2"/>
  <c r="D18" i="2"/>
  <c r="D19" i="2"/>
  <c r="D20" i="2"/>
  <c r="D21" i="2"/>
  <c r="D22" i="2"/>
  <c r="D23" i="2"/>
  <c r="D24" i="2"/>
  <c r="D25" i="2"/>
  <c r="C17" i="2"/>
  <c r="C18" i="2"/>
  <c r="C19" i="2"/>
  <c r="C20" i="2"/>
  <c r="C21" i="2"/>
  <c r="C22" i="2"/>
  <c r="C23" i="2"/>
  <c r="C24" i="2"/>
  <c r="C25" i="2"/>
  <c r="C16" i="2"/>
  <c r="B17" i="2"/>
  <c r="B18" i="2"/>
  <c r="B19" i="2"/>
  <c r="B20" i="2"/>
  <c r="B21" i="2"/>
  <c r="B22" i="2"/>
  <c r="B23" i="2"/>
  <c r="B24" i="2"/>
  <c r="B25" i="2"/>
  <c r="B16" i="2"/>
  <c r="B12" i="2"/>
  <c r="B4" i="2"/>
  <c r="B5" i="2"/>
  <c r="B6" i="2"/>
  <c r="B7" i="2"/>
  <c r="B8" i="2"/>
  <c r="B9" i="2"/>
  <c r="B10" i="2"/>
  <c r="B11" i="2"/>
  <c r="C4" i="2" a="1"/>
  <c r="C5" i="2" a="1"/>
  <c r="C6" i="2" a="1"/>
  <c r="C7" i="2" a="1"/>
  <c r="C8" i="2" a="1"/>
  <c r="C9" i="2" a="1"/>
  <c r="C10" i="2" a="1"/>
  <c r="C11" i="2" a="1"/>
  <c r="C12" i="2" a="1"/>
  <c r="E17" i="7"/>
  <c r="E13" i="7"/>
  <c r="E8" i="7"/>
  <c r="E18" i="7" s="1"/>
  <c r="M7" i="3"/>
  <c r="N7" i="3" s="1"/>
  <c r="M6" i="3"/>
  <c r="N6" i="3" s="1"/>
  <c r="E6" i="3"/>
  <c r="D6" i="3"/>
  <c r="C6" i="3"/>
  <c r="B6" i="3"/>
  <c r="N5" i="3"/>
  <c r="M5" i="3"/>
  <c r="F5" i="3"/>
  <c r="M4" i="3"/>
  <c r="N4" i="3" s="1"/>
  <c r="F4" i="3"/>
  <c r="M3" i="3"/>
  <c r="N3" i="3" s="1"/>
  <c r="F3" i="3"/>
  <c r="F6" i="3" s="1"/>
  <c r="E25" i="2"/>
  <c r="E24" i="2"/>
  <c r="E23" i="2"/>
  <c r="E22" i="2"/>
  <c r="E21" i="2"/>
  <c r="E20" i="2"/>
  <c r="E19" i="2"/>
  <c r="E18" i="2"/>
  <c r="E17" i="2"/>
  <c r="E16" i="2"/>
  <c r="D12" i="2"/>
  <c r="D11" i="2"/>
  <c r="D10" i="2"/>
  <c r="D9" i="2"/>
  <c r="D8" i="2"/>
  <c r="D7" i="2"/>
  <c r="D6" i="2"/>
  <c r="D5" i="2"/>
  <c r="D4" i="2"/>
  <c r="D3" i="2"/>
  <c r="J16" i="4" l="1"/>
  <c r="J17" i="4"/>
  <c r="J18" i="4"/>
  <c r="J19" i="4"/>
  <c r="J20" i="4"/>
  <c r="J21" i="4"/>
  <c r="J22" i="4"/>
  <c r="J23" i="4"/>
  <c r="J24" i="4"/>
  <c r="J25" i="4"/>
  <c r="H17" i="4"/>
  <c r="H18" i="4"/>
  <c r="H19" i="4"/>
  <c r="H20" i="4"/>
  <c r="H21" i="4"/>
  <c r="H22" i="4"/>
  <c r="H23" i="4"/>
  <c r="H24" i="4"/>
  <c r="H25" i="4"/>
  <c r="H16" i="4"/>
  <c r="F17" i="4"/>
  <c r="F18" i="4"/>
  <c r="F19" i="4"/>
  <c r="F20" i="4"/>
  <c r="F21" i="4"/>
  <c r="F22" i="4"/>
  <c r="F23" i="4"/>
  <c r="F24" i="4"/>
  <c r="F25" i="4"/>
  <c r="F16" i="4"/>
  <c r="E24" i="4"/>
  <c r="E25" i="4"/>
  <c r="E22" i="4"/>
  <c r="E23" i="4"/>
  <c r="E21" i="4"/>
  <c r="E20" i="4"/>
  <c r="E17" i="4"/>
  <c r="E18" i="4"/>
  <c r="E19" i="4"/>
  <c r="E16" i="4"/>
  <c r="D20" i="4"/>
  <c r="D21" i="4"/>
  <c r="D22" i="4"/>
  <c r="D23" i="4"/>
  <c r="D24" i="4"/>
  <c r="D25" i="4"/>
  <c r="D17" i="4"/>
  <c r="D18" i="4"/>
  <c r="D19" i="4"/>
  <c r="D16" i="4"/>
  <c r="C17" i="4"/>
  <c r="C18" i="4"/>
  <c r="C19" i="4"/>
  <c r="C20" i="4"/>
  <c r="C21" i="4"/>
  <c r="C22" i="4"/>
  <c r="C23" i="4"/>
  <c r="C24" i="4"/>
  <c r="C25" i="4"/>
  <c r="C16" i="4"/>
  <c r="I4" i="4"/>
  <c r="I5" i="4"/>
  <c r="I6" i="4"/>
  <c r="I7" i="4"/>
  <c r="I8" i="4"/>
  <c r="I9" i="4"/>
  <c r="I10" i="4"/>
  <c r="I11" i="4"/>
  <c r="I12" i="4"/>
  <c r="I3" i="4"/>
  <c r="G5" i="4"/>
  <c r="G6" i="4"/>
  <c r="G7" i="4"/>
  <c r="G8" i="4"/>
  <c r="G9" i="4"/>
  <c r="G10" i="4"/>
  <c r="G11" i="4"/>
  <c r="G12" i="4"/>
  <c r="G3" i="4"/>
  <c r="G4" i="4"/>
  <c r="F3" i="4"/>
  <c r="F4" i="4"/>
  <c r="F5" i="4"/>
  <c r="F6" i="4"/>
  <c r="F7" i="4"/>
  <c r="F8" i="4"/>
  <c r="F9" i="4"/>
  <c r="F10" i="4"/>
  <c r="F11" i="4"/>
  <c r="F12" i="4"/>
  <c r="E4" i="4"/>
  <c r="E5" i="4"/>
  <c r="E6" i="4"/>
  <c r="E7" i="4"/>
  <c r="E8" i="4"/>
  <c r="E9" i="4"/>
  <c r="E10" i="4"/>
  <c r="E11" i="4"/>
  <c r="E12" i="4"/>
  <c r="E3" i="4"/>
  <c r="D4" i="4"/>
  <c r="D5" i="4"/>
  <c r="D6" i="4"/>
  <c r="D7" i="4"/>
  <c r="D8" i="4"/>
  <c r="D9" i="4"/>
  <c r="D10" i="4"/>
  <c r="D11" i="4"/>
  <c r="D12" i="4"/>
  <c r="D3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<sst xmlns="http://schemas.openxmlformats.org/spreadsheetml/2006/main" count="606" uniqueCount="189">
  <si>
    <t>Bug_ID</t>
  </si>
  <si>
    <t>Project</t>
  </si>
  <si>
    <t>Module</t>
  </si>
  <si>
    <t>Severity</t>
  </si>
  <si>
    <t>Priority</t>
  </si>
  <si>
    <t>Status</t>
  </si>
  <si>
    <t>Assigned_To</t>
  </si>
  <si>
    <t>Reported_Date</t>
  </si>
  <si>
    <t>Resolved_Date</t>
  </si>
  <si>
    <t>Retest_Date</t>
  </si>
  <si>
    <t>Hours_Spent</t>
  </si>
  <si>
    <t>Bug_Count</t>
  </si>
  <si>
    <t>Pass_Fail</t>
  </si>
  <si>
    <t>Environment</t>
  </si>
  <si>
    <t>Comments</t>
  </si>
  <si>
    <t>BUG-001</t>
  </si>
  <si>
    <t>Alpha</t>
  </si>
  <si>
    <t>Login</t>
  </si>
  <si>
    <t>Critical</t>
  </si>
  <si>
    <t>High</t>
  </si>
  <si>
    <t>Open</t>
  </si>
  <si>
    <t>Alice</t>
  </si>
  <si>
    <t>Fail</t>
  </si>
  <si>
    <t>QA</t>
  </si>
  <si>
    <t>Login button unresponsive on Chrome</t>
  </si>
  <si>
    <t>BUG-002</t>
  </si>
  <si>
    <t>Dashboard</t>
  </si>
  <si>
    <t>Resolved</t>
  </si>
  <si>
    <t>Bob</t>
  </si>
  <si>
    <t>Pass</t>
  </si>
  <si>
    <t>Dashboard loads slowly</t>
  </si>
  <si>
    <t>BUG-003</t>
  </si>
  <si>
    <t>Beta</t>
  </si>
  <si>
    <t>Reports</t>
  </si>
  <si>
    <t>Medium</t>
  </si>
  <si>
    <t>Staging</t>
  </si>
  <si>
    <t>Export to PDF fails</t>
  </si>
  <si>
    <t>BUG-004</t>
  </si>
  <si>
    <t>Low</t>
  </si>
  <si>
    <t>Closed</t>
  </si>
  <si>
    <t>Charlie</t>
  </si>
  <si>
    <t>Typo in error message</t>
  </si>
  <si>
    <t>BUG-005</t>
  </si>
  <si>
    <t>Payments</t>
  </si>
  <si>
    <t>Production</t>
  </si>
  <si>
    <t>Payment gateway timeout</t>
  </si>
  <si>
    <t>BUG-006</t>
  </si>
  <si>
    <t>Gamma</t>
  </si>
  <si>
    <t>Search</t>
  </si>
  <si>
    <t>Diana</t>
  </si>
  <si>
    <t>Search returns wrong results</t>
  </si>
  <si>
    <t>BUG-007</t>
  </si>
  <si>
    <t>Report pagination broken</t>
  </si>
  <si>
    <t>BUG-008</t>
  </si>
  <si>
    <t>Password field asterisks missing</t>
  </si>
  <si>
    <t>BUG-009</t>
  </si>
  <si>
    <t>Crash on dashboard open</t>
  </si>
  <si>
    <t>BUG-010</t>
  </si>
  <si>
    <t>Double charge on retry</t>
  </si>
  <si>
    <t>BUG-011</t>
  </si>
  <si>
    <t>SSO redirect broken</t>
  </si>
  <si>
    <t>BUG-012</t>
  </si>
  <si>
    <t>Minor UI alignment</t>
  </si>
  <si>
    <t>BUG-013</t>
  </si>
  <si>
    <t>Search API returns 500</t>
  </si>
  <si>
    <t>BUG-014</t>
  </si>
  <si>
    <t>Currency conversion error</t>
  </si>
  <si>
    <t>BUG-015</t>
  </si>
  <si>
    <t>Date filter not working</t>
  </si>
  <si>
    <t>BUG-016</t>
  </si>
  <si>
    <t>Remember me checkbox bug</t>
  </si>
  <si>
    <t>BUG-017</t>
  </si>
  <si>
    <t>Memory leak on dashboard</t>
  </si>
  <si>
    <t>BUG-018</t>
  </si>
  <si>
    <t>Discount not applied</t>
  </si>
  <si>
    <t>BUG-019</t>
  </si>
  <si>
    <t>CSV export encoding issue</t>
  </si>
  <si>
    <t>BUG-020</t>
  </si>
  <si>
    <t>Autocomplete flicker</t>
  </si>
  <si>
    <t>SECTION 1 – LOOKUP Functions (OFFSET / INDIRECT)</t>
  </si>
  <si>
    <t>Module (OFFSET)</t>
  </si>
  <si>
    <t>Hours (INDIRECT)</t>
  </si>
  <si>
    <t>Severity (OFFSET+MATCH)</t>
  </si>
  <si>
    <t>Assigned To (INDIRECT)</t>
  </si>
  <si>
    <t>SECTION 2 – Logical Functions (IF / ISERROR)</t>
  </si>
  <si>
    <t>Priority_Flag (IF)</t>
  </si>
  <si>
    <t>Safe_Lookup (IFERROR)</t>
  </si>
  <si>
    <t>Hours_Category (Nested IF)</t>
  </si>
  <si>
    <t>Resolved? (IF+AND)</t>
  </si>
  <si>
    <t>CHART DATA – Bug Summary by Project &amp; Severity</t>
  </si>
  <si>
    <t>PASS/FAIL TREND (Today marker)</t>
  </si>
  <si>
    <t>Week</t>
  </si>
  <si>
    <t>Total</t>
  </si>
  <si>
    <t>Pass%</t>
  </si>
  <si>
    <t>Wk1</t>
  </si>
  <si>
    <t>Wk2</t>
  </si>
  <si>
    <t>Wk3</t>
  </si>
  <si>
    <t>Wk4</t>
  </si>
  <si>
    <t>Wk5</t>
  </si>
  <si>
    <t>DATE/TIME &amp; TEXT FUNCTIONS – Bug Tracker Context</t>
  </si>
  <si>
    <t>Days_Open (DATEDIF)</t>
  </si>
  <si>
    <t>Business_Days (NETWORKDAYS)</t>
  </si>
  <si>
    <t>Month_End (EOMONTH)</t>
  </si>
  <si>
    <t>Week_Num (WEEKNUM)</t>
  </si>
  <si>
    <t>TODAY_Ref</t>
  </si>
  <si>
    <t>Days_Since_Report</t>
  </si>
  <si>
    <t>TEXT FUNCTIONS – MID, SEARCH, LEFT, RIGHT, TRIM, UPPER, LOWER, SUBSTITUTE, CONCATENATE</t>
  </si>
  <si>
    <t>Full_Comment</t>
  </si>
  <si>
    <t>LEFT(10)</t>
  </si>
  <si>
    <t>RIGHT(6)</t>
  </si>
  <si>
    <t>MID(5,4)</t>
  </si>
  <si>
    <t>UPPER(Bug_ID)</t>
  </si>
  <si>
    <t>LOWER(Module)</t>
  </si>
  <si>
    <t>TRIM result</t>
  </si>
  <si>
    <t>SUBSTITUTE</t>
  </si>
  <si>
    <t>CONCAT Bug+Module</t>
  </si>
  <si>
    <t>VALIDATIONS &amp; CONDITIONAL FORMATTING</t>
  </si>
  <si>
    <t>Severity (Dropdown)</t>
  </si>
  <si>
    <t>Status (Dropdown)</t>
  </si>
  <si>
    <t>Priority (Dropdown)</t>
  </si>
  <si>
    <t>Hours_Spent (1-20)</t>
  </si>
  <si>
    <t>Severity_Color</t>
  </si>
  <si>
    <t>Status_Badge</t>
  </si>
  <si>
    <t>ADVANCED FILTER, SORTING &amp; SUMPRODUCT / FLOOR-CEILING</t>
  </si>
  <si>
    <t>Advanced Filter Criteria Range (copy to use):</t>
  </si>
  <si>
    <t>SUMPRODUCT &amp; MATH FUNCTIONS – Aggregations on Bug Dataset</t>
  </si>
  <si>
    <t>Total Open Bugs (SUMPRODUCT)</t>
  </si>
  <si>
    <t>Total Hours - Critical Bugs</t>
  </si>
  <si>
    <t>Count of Failures by Alice</t>
  </si>
  <si>
    <t>FLOOR(avg hours to nearest 2)</t>
  </si>
  <si>
    <t>CEILING(avg hours to nearest 5)</t>
  </si>
  <si>
    <t>MROUND(avg hours to nearest 3)</t>
  </si>
  <si>
    <t>MOD(Total bugs / 3) remainder</t>
  </si>
  <si>
    <t>QUOTIENT(Total hours / bugs)</t>
  </si>
  <si>
    <t>Bugs in Beta project (SUMPRODUCT)</t>
  </si>
  <si>
    <t>SORTING DEMO – Top 10 Bugs by Hours Spent (pre-sorted descending)</t>
  </si>
  <si>
    <t>Rank</t>
  </si>
  <si>
    <t>Hours</t>
  </si>
  <si>
    <t>Pass/Fail</t>
  </si>
  <si>
    <t>SUMMARIZING DATA – SUBTOTALS, GROUPING &amp; OUTLINE</t>
  </si>
  <si>
    <t>Alpha Subtotal</t>
  </si>
  <si>
    <t>Beta Subtotal</t>
  </si>
  <si>
    <t>Gamma Subtotal</t>
  </si>
  <si>
    <t>GRAND TOTAL</t>
  </si>
  <si>
    <t>SUBTOTAL Function Examples (function_num: 1=AVERAGE, 2=COUNT, 9=SUM, 3=COUNTA)</t>
  </si>
  <si>
    <t>Description</t>
  </si>
  <si>
    <t>Formula / Result</t>
  </si>
  <si>
    <t>SUBTOTAL SUM of Hours (visible rows only)</t>
  </si>
  <si>
    <t>SUBTOTAL COUNT of Bug IDs</t>
  </si>
  <si>
    <t>SUBTOTAL AVERAGE of Hours</t>
  </si>
  <si>
    <t>SUBTOTAL MAX of Hours</t>
  </si>
  <si>
    <t>ERROR DEMO TABLE – Practice identifying and fixing each error type</t>
  </si>
  <si>
    <t>Error Type</t>
  </si>
  <si>
    <t>Broken Formula</t>
  </si>
  <si>
    <t>Fixed Formula</t>
  </si>
  <si>
    <t>Result</t>
  </si>
  <si>
    <t>DIV/0 Error</t>
  </si>
  <si>
    <t>Broken: 10 divided by 0</t>
  </si>
  <si>
    <t>N/A Error</t>
  </si>
  <si>
    <t>Broken: VLOOKUP BUG-999 not found</t>
  </si>
  <si>
    <t>VALUE Error</t>
  </si>
  <si>
    <t>Broken: 10 plus text abc</t>
  </si>
  <si>
    <t>REF Error</t>
  </si>
  <si>
    <t>Broken: reference to deleted cell</t>
  </si>
  <si>
    <t>HYPERLINKS &amp; DATA LINKING – Within Sheet / Workbook / External</t>
  </si>
  <si>
    <t>Link/Formula</t>
  </si>
  <si>
    <t>Type</t>
  </si>
  <si>
    <t>Notes</t>
  </si>
  <si>
    <t>Jump to Dataset Sheet</t>
  </si>
  <si>
    <t>Within Workbook</t>
  </si>
  <si>
    <t>Click to navigate to Dataset tab</t>
  </si>
  <si>
    <t>Jump to Charts Sheet</t>
  </si>
  <si>
    <t>Anthropic Website</t>
  </si>
  <si>
    <t>External URL</t>
  </si>
  <si>
    <t>Opens browser</t>
  </si>
  <si>
    <t>Email a Bug Report</t>
  </si>
  <si>
    <t>Email</t>
  </si>
  <si>
    <t>Opens mail client</t>
  </si>
  <si>
    <t>Pull Project from Dataset</t>
  </si>
  <si>
    <t>Cross-sheet Reference</t>
  </si>
  <si>
    <t>Live link - changes if Dataset changes</t>
  </si>
  <si>
    <t>Pull Severity for BUG-005</t>
  </si>
  <si>
    <t>Row 6 = BUG-005</t>
  </si>
  <si>
    <t>Concat Bug detail</t>
  </si>
  <si>
    <t>Formula Link</t>
  </si>
  <si>
    <t>Combines Bug_ID + Project + Severity</t>
  </si>
  <si>
    <t>Count linked bugs</t>
  </si>
  <si>
    <t>Counts all bugs in Dataset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</si>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</sst>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1F4E79"/>
      <name val="Arial"/>
      <charset val="1"/>
    </font>
    <font>
      <b/>
      <sz val="12"/>
      <color rgb="FF1F4E79"/>
      <name val="Arial"/>
      <charset val="1"/>
    </font>
    <font>
      <b/>
      <sz val="10"/>
      <name val="Arial"/>
      <charset val="1"/>
    </font>
    <font>
      <u/>
      <sz val="11"/>
      <color theme="10"/>
      <name val="Calibri"/>
      <family val="2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CAA"/>
      </patternFill>
    </fill>
    <fill>
      <patternFill patternType="solid">
        <fgColor rgb="FFC6EFCE"/>
        <b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3" fillId="5" borderId="0" xfId="0" applyFont="1" applyFill="1"/>
    <xf numFmtId="0" fontId="6" fillId="3" borderId="1" xfId="1" applyFill="1" applyBorder="1" applyAlignment="1">
      <alignment horizontal="left"/>
    </xf>
    <xf numFmtId="0" fontId="6" fillId="0" borderId="0" xfId="1"/>
    <xf numFmtId="0" fontId="3" fillId="5" borderId="0" xfId="0" applyFont="1" applyFill="1" applyAlignment="1">
      <alignment horizontal="left"/>
    </xf>
    <xf numFmtId="0" fontId="4" fillId="5" borderId="0" xfId="0" applyFont="1" applyFill="1"/>
    <xf numFmtId="0" fontId="3" fillId="5" borderId="0" xfId="0" applyFont="1" applyFill="1"/>
    <xf numFmtId="0" fontId="5" fillId="0" borderId="0" xfId="0" applyFont="1"/>
    <xf numFmtId="14" fontId="0" fillId="3" borderId="1" xfId="0" applyNumberForma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6" fillId="4" borderId="1" xfId="1" applyFill="1" applyBorder="1" applyAlignment="1">
      <alignment horizontal="left"/>
    </xf>
    <xf numFmtId="0" fontId="7" fillId="3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2"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00B050"/>
      </font>
      <fill>
        <patternFill>
          <bgColor theme="6" tint="0.79998168889431442"/>
        </patternFill>
      </fill>
    </dxf>
    <dxf>
      <font>
        <b/>
        <color rgb="FF833C00"/>
      </font>
      <fill>
        <patternFill>
          <bgColor rgb="FFFFCCAA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00B050"/>
      </font>
      <fill>
        <patternFill>
          <bgColor theme="6" tint="0.79998168889431442"/>
        </patternFill>
      </fill>
    </dxf>
    <dxf>
      <font>
        <b/>
        <color rgb="FF833C00"/>
      </font>
      <fill>
        <patternFill>
          <bgColor rgb="FFFFCCAA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00B050"/>
      </font>
      <fill>
        <patternFill>
          <bgColor theme="6" tint="0.79998168889431442"/>
        </patternFill>
      </fill>
    </dxf>
    <dxf>
      <font>
        <b/>
        <color rgb="FF833C00"/>
      </font>
      <fill>
        <patternFill>
          <bgColor rgb="FFFFCCAA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9F9F9"/>
      <rgbColor rgb="FFEBF3FB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FF99"/>
      <rgbColor rgb="FF99CCFF"/>
      <rgbColor rgb="FFFFC7CE"/>
      <rgbColor rgb="FFCC99FF"/>
      <rgbColor rgb="FFFFCCAA"/>
      <rgbColor rgb="FF4A7EBB"/>
      <rgbColor rgb="FF33CCCC"/>
      <rgbColor rgb="FF9BBB59"/>
      <rgbColor rgb="FFFFCC00"/>
      <rgbColor rgb="FFFF9900"/>
      <rgbColor rgb="FFFF6600"/>
      <rgbColor rgb="FF8064A2"/>
      <rgbColor rgb="FFAAAAAA"/>
      <rgbColor rgb="FF003366"/>
      <rgbColor rgb="FF4F81BD"/>
      <rgbColor rgb="FF003300"/>
      <rgbColor rgb="FF333300"/>
      <rgbColor rgb="FF833C00"/>
      <rgbColor rgb="FFC0504D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Demo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chemeClr val="dk1">
                <a:tint val="88500"/>
                <a:alpha val="85000"/>
              </a:schemeClr>
            </a:solidFill>
            <a:ln w="9525" cap="flat" cmpd="sng" algn="ctr">
              <a:solidFill>
                <a:schemeClr val="dk1">
                  <a:tint val="885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dk1">
                  <a:tint val="885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Charts!$A$3:$A$5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</c:strCache>
            </c:strRef>
          </c:cat>
          <c:val>
            <c:numRef>
              <c:f>Charts!$B$3:$B$5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4-4C4D-9B2F-705A7EBD2F05}"/>
            </c:ext>
          </c:extLst>
        </c:ser>
        <c:ser>
          <c:idx val="1"/>
          <c:order val="1"/>
          <c:tx>
            <c:strRef>
              <c:f>Charts!$C$2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chemeClr val="dk1">
                <a:tint val="55000"/>
                <a:alpha val="85000"/>
              </a:schemeClr>
            </a:solidFill>
            <a:ln w="9525" cap="flat" cmpd="sng" algn="ctr">
              <a:solidFill>
                <a:schemeClr val="dk1">
                  <a:tint val="55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dk1">
                  <a:tint val="55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Charts!$A$3:$A$5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</c:strCache>
            </c:strRef>
          </c:cat>
          <c:val>
            <c:numRef>
              <c:f>Charts!$C$3:$C$5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D4-4C4D-9B2F-705A7EBD2F05}"/>
            </c:ext>
          </c:extLst>
        </c:ser>
        <c:ser>
          <c:idx val="2"/>
          <c:order val="2"/>
          <c:tx>
            <c:strRef>
              <c:f>Charts!$D$2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75000"/>
                <a:alpha val="85000"/>
              </a:schemeClr>
            </a:solidFill>
            <a:ln w="9525" cap="flat" cmpd="sng" algn="ctr">
              <a:solidFill>
                <a:schemeClr val="dk1">
                  <a:tint val="75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dk1">
                  <a:tint val="75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Charts!$A$3:$A$5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</c:strCache>
            </c:strRef>
          </c:cat>
          <c:val>
            <c:numRef>
              <c:f>Charts!$D$3:$D$5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D4-4C4D-9B2F-705A7EBD2F05}"/>
            </c:ext>
          </c:extLst>
        </c:ser>
        <c:ser>
          <c:idx val="3"/>
          <c:order val="3"/>
          <c:tx>
            <c:strRef>
              <c:f>Charts!$E$2</c:f>
              <c:strCache>
                <c:ptCount val="1"/>
                <c:pt idx="0">
                  <c:v>Pass%</c:v>
                </c:pt>
              </c:strCache>
            </c:strRef>
          </c:tx>
          <c:spPr>
            <a:solidFill>
              <a:schemeClr val="dk1">
                <a:tint val="98500"/>
                <a:alpha val="85000"/>
              </a:schemeClr>
            </a:solidFill>
            <a:ln w="9525" cap="flat" cmpd="sng" algn="ctr">
              <a:solidFill>
                <a:schemeClr val="dk1">
                  <a:tint val="985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dk1">
                  <a:tint val="985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Charts!$A$3:$A$5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</c:strCache>
            </c:strRef>
          </c:cat>
          <c:val>
            <c:numRef>
              <c:f>Charts!$E$3:$E$5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D4-4C4D-9B2F-705A7EBD2F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108198319"/>
        <c:axId val="1108198799"/>
        <c:axId val="0"/>
      </c:bar3DChart>
      <c:catAx>
        <c:axId val="1108198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198799"/>
        <c:crosses val="autoZero"/>
        <c:auto val="1"/>
        <c:lblAlgn val="ctr"/>
        <c:lblOffset val="100"/>
        <c:noMultiLvlLbl val="0"/>
      </c:catAx>
      <c:valAx>
        <c:axId val="110819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19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Charts!$J$3:$J$7</c:f>
              <c:strCache>
                <c:ptCount val="5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</c:strCache>
            </c:strRef>
          </c:cat>
          <c:val>
            <c:numRef>
              <c:f>Charts!$K$3:$K$7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10</c:v>
                </c:pt>
                <c:pt idx="4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84-4775-968A-1599C99B4B5A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Charts!$J$3:$J$7</c:f>
              <c:strCache>
                <c:ptCount val="5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</c:strCache>
            </c:strRef>
          </c:cat>
          <c:val>
            <c:numRef>
              <c:f>Charts!$L$3:$L$7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84-4775-968A-1599C99B4B5A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Charts!$J$3:$J$7</c:f>
              <c:strCache>
                <c:ptCount val="5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</c:strCache>
            </c:strRef>
          </c:cat>
          <c:val>
            <c:numRef>
              <c:f>Charts!$M$3:$M$7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E84-4775-968A-1599C99B4B5A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Charts!$J$3:$J$7</c:f>
              <c:strCache>
                <c:ptCount val="5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</c:strCache>
            </c:strRef>
          </c:cat>
          <c:val>
            <c:numRef>
              <c:f>Charts!$N$3:$N$7</c:f>
              <c:numCache>
                <c:formatCode>0%</c:formatCode>
                <c:ptCount val="5"/>
                <c:pt idx="0">
                  <c:v>0.6</c:v>
                </c:pt>
                <c:pt idx="1">
                  <c:v>0.72727272727272729</c:v>
                </c:pt>
                <c:pt idx="2">
                  <c:v>0.58333333333333337</c:v>
                </c:pt>
                <c:pt idx="3">
                  <c:v>0.83333333333333337</c:v>
                </c:pt>
                <c:pt idx="4">
                  <c:v>0.9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E84-4775-968A-1599C99B4B5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15705343"/>
        <c:axId val="1115700543"/>
      </c:lineChart>
      <c:catAx>
        <c:axId val="11157053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700543"/>
        <c:crosses val="autoZero"/>
        <c:auto val="1"/>
        <c:lblAlgn val="ctr"/>
        <c:lblOffset val="100"/>
        <c:noMultiLvlLbl val="0"/>
      </c:catAx>
      <c:valAx>
        <c:axId val="11157005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70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8</xdr:row>
      <xdr:rowOff>95250</xdr:rowOff>
    </xdr:from>
    <xdr:to>
      <xdr:col>6</xdr:col>
      <xdr:colOff>518160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7E7D47-CE47-2845-70F1-3E5586568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60960</xdr:colOff>
      <xdr:row>8</xdr:row>
      <xdr:rowOff>118110</xdr:rowOff>
    </xdr:from>
    <xdr:to>
      <xdr:col>17</xdr:col>
      <xdr:colOff>472440</xdr:colOff>
      <xdr:row>23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CDBBF6-B7C5-F422-EDCD-9669EE2F3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4" customWidth="1"/>
    <col min="3" max="3" width="16" customWidth="1"/>
    <col min="4" max="4" width="12" customWidth="1"/>
    <col min="5" max="5" width="10" customWidth="1"/>
    <col min="6" max="6" width="14" customWidth="1"/>
    <col min="7" max="7" width="16" customWidth="1"/>
    <col min="8" max="10" width="14" customWidth="1"/>
    <col min="11" max="11" width="13" customWidth="1"/>
    <col min="12" max="13" width="11" customWidth="1"/>
    <col min="14" max="14" width="14" customWidth="1"/>
    <col min="15" max="15" width="30" customWidth="1"/>
  </cols>
  <sheetData>
    <row r="1" spans="1:1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7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3">
        <v>45296</v>
      </c>
      <c r="I2" s="2"/>
      <c r="J2" s="3">
        <v>45301</v>
      </c>
      <c r="K2" s="2">
        <v>8</v>
      </c>
      <c r="L2" s="2">
        <v>1</v>
      </c>
      <c r="M2" s="2" t="s">
        <v>22</v>
      </c>
      <c r="N2" s="2" t="s">
        <v>23</v>
      </c>
      <c r="O2" s="4" t="s">
        <v>24</v>
      </c>
    </row>
    <row r="3" spans="1:15" x14ac:dyDescent="0.3">
      <c r="A3" s="5" t="s">
        <v>25</v>
      </c>
      <c r="B3" s="5" t="s">
        <v>16</v>
      </c>
      <c r="C3" s="5" t="s">
        <v>26</v>
      </c>
      <c r="D3" s="5" t="s">
        <v>19</v>
      </c>
      <c r="E3" s="5" t="s">
        <v>19</v>
      </c>
      <c r="F3" s="5" t="s">
        <v>27</v>
      </c>
      <c r="G3" s="5" t="s">
        <v>28</v>
      </c>
      <c r="H3" s="6">
        <v>45297</v>
      </c>
      <c r="I3" s="6">
        <v>45299</v>
      </c>
      <c r="J3" s="6">
        <v>45300</v>
      </c>
      <c r="K3" s="5">
        <v>5</v>
      </c>
      <c r="L3" s="5">
        <v>1</v>
      </c>
      <c r="M3" s="5" t="s">
        <v>29</v>
      </c>
      <c r="N3" s="5" t="s">
        <v>23</v>
      </c>
      <c r="O3" s="7" t="s">
        <v>30</v>
      </c>
    </row>
    <row r="4" spans="1:15" x14ac:dyDescent="0.3">
      <c r="A4" s="2" t="s">
        <v>31</v>
      </c>
      <c r="B4" s="2" t="s">
        <v>32</v>
      </c>
      <c r="C4" s="2" t="s">
        <v>33</v>
      </c>
      <c r="D4" s="2" t="s">
        <v>34</v>
      </c>
      <c r="E4" s="2" t="s">
        <v>34</v>
      </c>
      <c r="F4" s="2" t="s">
        <v>20</v>
      </c>
      <c r="G4" s="2" t="s">
        <v>21</v>
      </c>
      <c r="H4" s="3">
        <v>45298</v>
      </c>
      <c r="I4" s="2"/>
      <c r="J4" s="3">
        <v>45303</v>
      </c>
      <c r="K4" s="2">
        <v>3</v>
      </c>
      <c r="L4" s="2">
        <v>1</v>
      </c>
      <c r="M4" s="2" t="s">
        <v>22</v>
      </c>
      <c r="N4" s="2" t="s">
        <v>35</v>
      </c>
      <c r="O4" s="4" t="s">
        <v>36</v>
      </c>
    </row>
    <row r="5" spans="1:15" x14ac:dyDescent="0.3">
      <c r="A5" s="5" t="s">
        <v>37</v>
      </c>
      <c r="B5" s="5" t="s">
        <v>32</v>
      </c>
      <c r="C5" s="5" t="s">
        <v>17</v>
      </c>
      <c r="D5" s="5" t="s">
        <v>38</v>
      </c>
      <c r="E5" s="5" t="s">
        <v>38</v>
      </c>
      <c r="F5" s="5" t="s">
        <v>39</v>
      </c>
      <c r="G5" s="5" t="s">
        <v>40</v>
      </c>
      <c r="H5" s="6">
        <v>45299</v>
      </c>
      <c r="I5" s="6">
        <v>45300</v>
      </c>
      <c r="J5" s="5"/>
      <c r="K5" s="5">
        <v>2</v>
      </c>
      <c r="L5" s="5">
        <v>1</v>
      </c>
      <c r="M5" s="5" t="s">
        <v>29</v>
      </c>
      <c r="N5" s="5" t="s">
        <v>23</v>
      </c>
      <c r="O5" s="7" t="s">
        <v>41</v>
      </c>
    </row>
    <row r="6" spans="1:15" x14ac:dyDescent="0.3">
      <c r="A6" s="2" t="s">
        <v>42</v>
      </c>
      <c r="B6" s="2" t="s">
        <v>16</v>
      </c>
      <c r="C6" s="2" t="s">
        <v>43</v>
      </c>
      <c r="D6" s="2" t="s">
        <v>18</v>
      </c>
      <c r="E6" s="2" t="s">
        <v>19</v>
      </c>
      <c r="F6" s="2" t="s">
        <v>27</v>
      </c>
      <c r="G6" s="2" t="s">
        <v>28</v>
      </c>
      <c r="H6" s="3">
        <v>45300</v>
      </c>
      <c r="I6" s="3">
        <v>45302</v>
      </c>
      <c r="J6" s="3">
        <v>45303</v>
      </c>
      <c r="K6" s="2">
        <v>10</v>
      </c>
      <c r="L6" s="2">
        <v>1</v>
      </c>
      <c r="M6" s="2" t="s">
        <v>29</v>
      </c>
      <c r="N6" s="2" t="s">
        <v>44</v>
      </c>
      <c r="O6" s="4" t="s">
        <v>45</v>
      </c>
    </row>
    <row r="7" spans="1:15" x14ac:dyDescent="0.3">
      <c r="A7" s="5" t="s">
        <v>46</v>
      </c>
      <c r="B7" s="5" t="s">
        <v>47</v>
      </c>
      <c r="C7" s="5" t="s">
        <v>48</v>
      </c>
      <c r="D7" s="5" t="s">
        <v>19</v>
      </c>
      <c r="E7" s="5" t="s">
        <v>34</v>
      </c>
      <c r="F7" s="5" t="s">
        <v>20</v>
      </c>
      <c r="G7" s="5" t="s">
        <v>49</v>
      </c>
      <c r="H7" s="6">
        <v>45301</v>
      </c>
      <c r="I7" s="5"/>
      <c r="J7" s="6">
        <v>45306</v>
      </c>
      <c r="K7" s="5">
        <v>4</v>
      </c>
      <c r="L7" s="5">
        <v>1</v>
      </c>
      <c r="M7" s="5" t="s">
        <v>22</v>
      </c>
      <c r="N7" s="5" t="s">
        <v>23</v>
      </c>
      <c r="O7" s="7" t="s">
        <v>50</v>
      </c>
    </row>
    <row r="8" spans="1:15" x14ac:dyDescent="0.3">
      <c r="A8" s="2" t="s">
        <v>51</v>
      </c>
      <c r="B8" s="2" t="s">
        <v>47</v>
      </c>
      <c r="C8" s="2" t="s">
        <v>33</v>
      </c>
      <c r="D8" s="2" t="s">
        <v>34</v>
      </c>
      <c r="E8" s="2" t="s">
        <v>38</v>
      </c>
      <c r="F8" s="2" t="s">
        <v>39</v>
      </c>
      <c r="G8" s="2" t="s">
        <v>40</v>
      </c>
      <c r="H8" s="3">
        <v>45302</v>
      </c>
      <c r="I8" s="3">
        <v>45304</v>
      </c>
      <c r="J8" s="2"/>
      <c r="K8" s="2">
        <v>3</v>
      </c>
      <c r="L8" s="2">
        <v>1</v>
      </c>
      <c r="M8" s="2" t="s">
        <v>29</v>
      </c>
      <c r="N8" s="2" t="s">
        <v>35</v>
      </c>
      <c r="O8" s="4" t="s">
        <v>52</v>
      </c>
    </row>
    <row r="9" spans="1:15" x14ac:dyDescent="0.3">
      <c r="A9" s="5" t="s">
        <v>53</v>
      </c>
      <c r="B9" s="5" t="s">
        <v>16</v>
      </c>
      <c r="C9" s="5" t="s">
        <v>17</v>
      </c>
      <c r="D9" s="5" t="s">
        <v>38</v>
      </c>
      <c r="E9" s="5" t="s">
        <v>38</v>
      </c>
      <c r="F9" s="5" t="s">
        <v>27</v>
      </c>
      <c r="G9" s="5" t="s">
        <v>21</v>
      </c>
      <c r="H9" s="6">
        <v>45303</v>
      </c>
      <c r="I9" s="6">
        <v>45305</v>
      </c>
      <c r="J9" s="6">
        <v>45306</v>
      </c>
      <c r="K9" s="5">
        <v>2</v>
      </c>
      <c r="L9" s="5">
        <v>1</v>
      </c>
      <c r="M9" s="5" t="s">
        <v>29</v>
      </c>
      <c r="N9" s="5" t="s">
        <v>23</v>
      </c>
      <c r="O9" s="7" t="s">
        <v>54</v>
      </c>
    </row>
    <row r="10" spans="1:15" x14ac:dyDescent="0.3">
      <c r="A10" s="2" t="s">
        <v>55</v>
      </c>
      <c r="B10" s="2" t="s">
        <v>32</v>
      </c>
      <c r="C10" s="2" t="s">
        <v>26</v>
      </c>
      <c r="D10" s="2" t="s">
        <v>18</v>
      </c>
      <c r="E10" s="2" t="s">
        <v>19</v>
      </c>
      <c r="F10" s="2" t="s">
        <v>20</v>
      </c>
      <c r="G10" s="2" t="s">
        <v>28</v>
      </c>
      <c r="H10" s="3">
        <v>45304</v>
      </c>
      <c r="I10" s="2"/>
      <c r="J10" s="3">
        <v>45309</v>
      </c>
      <c r="K10" s="2">
        <v>7</v>
      </c>
      <c r="L10" s="2">
        <v>1</v>
      </c>
      <c r="M10" s="2" t="s">
        <v>22</v>
      </c>
      <c r="N10" s="2" t="s">
        <v>44</v>
      </c>
      <c r="O10" s="4" t="s">
        <v>56</v>
      </c>
    </row>
    <row r="11" spans="1:15" x14ac:dyDescent="0.3">
      <c r="A11" s="5" t="s">
        <v>57</v>
      </c>
      <c r="B11" s="5" t="s">
        <v>32</v>
      </c>
      <c r="C11" s="5" t="s">
        <v>43</v>
      </c>
      <c r="D11" s="5" t="s">
        <v>19</v>
      </c>
      <c r="E11" s="5" t="s">
        <v>19</v>
      </c>
      <c r="F11" s="5" t="s">
        <v>27</v>
      </c>
      <c r="G11" s="5" t="s">
        <v>49</v>
      </c>
      <c r="H11" s="6">
        <v>45305</v>
      </c>
      <c r="I11" s="6">
        <v>45307</v>
      </c>
      <c r="J11" s="6">
        <v>45308</v>
      </c>
      <c r="K11" s="5">
        <v>6</v>
      </c>
      <c r="L11" s="5">
        <v>1</v>
      </c>
      <c r="M11" s="5" t="s">
        <v>29</v>
      </c>
      <c r="N11" s="5" t="s">
        <v>23</v>
      </c>
      <c r="O11" s="7" t="s">
        <v>58</v>
      </c>
    </row>
    <row r="12" spans="1:15" x14ac:dyDescent="0.3">
      <c r="A12" s="2" t="s">
        <v>59</v>
      </c>
      <c r="B12" s="2" t="s">
        <v>47</v>
      </c>
      <c r="C12" s="2" t="s">
        <v>17</v>
      </c>
      <c r="D12" s="2" t="s">
        <v>34</v>
      </c>
      <c r="E12" s="2" t="s">
        <v>34</v>
      </c>
      <c r="F12" s="2" t="s">
        <v>20</v>
      </c>
      <c r="G12" s="2" t="s">
        <v>21</v>
      </c>
      <c r="H12" s="3">
        <v>45306</v>
      </c>
      <c r="I12" s="2"/>
      <c r="J12" s="3">
        <v>45311</v>
      </c>
      <c r="K12" s="2">
        <v>3</v>
      </c>
      <c r="L12" s="2">
        <v>1</v>
      </c>
      <c r="M12" s="2" t="s">
        <v>22</v>
      </c>
      <c r="N12" s="2" t="s">
        <v>35</v>
      </c>
      <c r="O12" s="4" t="s">
        <v>60</v>
      </c>
    </row>
    <row r="13" spans="1:15" x14ac:dyDescent="0.3">
      <c r="A13" s="5" t="s">
        <v>61</v>
      </c>
      <c r="B13" s="5" t="s">
        <v>16</v>
      </c>
      <c r="C13" s="5" t="s">
        <v>48</v>
      </c>
      <c r="D13" s="5" t="s">
        <v>38</v>
      </c>
      <c r="E13" s="5" t="s">
        <v>38</v>
      </c>
      <c r="F13" s="5" t="s">
        <v>39</v>
      </c>
      <c r="G13" s="5" t="s">
        <v>40</v>
      </c>
      <c r="H13" s="6">
        <v>45307</v>
      </c>
      <c r="I13" s="6">
        <v>45308</v>
      </c>
      <c r="J13" s="5"/>
      <c r="K13" s="5">
        <v>1</v>
      </c>
      <c r="L13" s="5">
        <v>1</v>
      </c>
      <c r="M13" s="5" t="s">
        <v>29</v>
      </c>
      <c r="N13" s="5" t="s">
        <v>23</v>
      </c>
      <c r="O13" s="7" t="s">
        <v>62</v>
      </c>
    </row>
    <row r="14" spans="1:15" x14ac:dyDescent="0.3">
      <c r="A14" s="2" t="s">
        <v>63</v>
      </c>
      <c r="B14" s="2" t="s">
        <v>32</v>
      </c>
      <c r="C14" s="2" t="s">
        <v>48</v>
      </c>
      <c r="D14" s="2" t="s">
        <v>18</v>
      </c>
      <c r="E14" s="2" t="s">
        <v>19</v>
      </c>
      <c r="F14" s="2" t="s">
        <v>27</v>
      </c>
      <c r="G14" s="2" t="s">
        <v>28</v>
      </c>
      <c r="H14" s="3">
        <v>45308</v>
      </c>
      <c r="I14" s="3">
        <v>45310</v>
      </c>
      <c r="J14" s="3">
        <v>45311</v>
      </c>
      <c r="K14" s="2">
        <v>9</v>
      </c>
      <c r="L14" s="2">
        <v>1</v>
      </c>
      <c r="M14" s="2" t="s">
        <v>29</v>
      </c>
      <c r="N14" s="2" t="s">
        <v>44</v>
      </c>
      <c r="O14" s="4" t="s">
        <v>64</v>
      </c>
    </row>
    <row r="15" spans="1:15" x14ac:dyDescent="0.3">
      <c r="A15" s="5" t="s">
        <v>65</v>
      </c>
      <c r="B15" s="5" t="s">
        <v>47</v>
      </c>
      <c r="C15" s="5" t="s">
        <v>43</v>
      </c>
      <c r="D15" s="5" t="s">
        <v>19</v>
      </c>
      <c r="E15" s="5" t="s">
        <v>34</v>
      </c>
      <c r="F15" s="5" t="s">
        <v>20</v>
      </c>
      <c r="G15" s="5" t="s">
        <v>49</v>
      </c>
      <c r="H15" s="6">
        <v>45309</v>
      </c>
      <c r="I15" s="5"/>
      <c r="J15" s="6">
        <v>45314</v>
      </c>
      <c r="K15" s="5">
        <v>5</v>
      </c>
      <c r="L15" s="5">
        <v>1</v>
      </c>
      <c r="M15" s="5" t="s">
        <v>22</v>
      </c>
      <c r="N15" s="5" t="s">
        <v>23</v>
      </c>
      <c r="O15" s="7" t="s">
        <v>66</v>
      </c>
    </row>
    <row r="16" spans="1:15" x14ac:dyDescent="0.3">
      <c r="A16" s="2" t="s">
        <v>67</v>
      </c>
      <c r="B16" s="2" t="s">
        <v>16</v>
      </c>
      <c r="C16" s="2" t="s">
        <v>33</v>
      </c>
      <c r="D16" s="2" t="s">
        <v>34</v>
      </c>
      <c r="E16" s="2" t="s">
        <v>38</v>
      </c>
      <c r="F16" s="2" t="s">
        <v>39</v>
      </c>
      <c r="G16" s="2" t="s">
        <v>21</v>
      </c>
      <c r="H16" s="3">
        <v>45310</v>
      </c>
      <c r="I16" s="3">
        <v>45312</v>
      </c>
      <c r="J16" s="2"/>
      <c r="K16" s="2">
        <v>4</v>
      </c>
      <c r="L16" s="2">
        <v>1</v>
      </c>
      <c r="M16" s="2" t="s">
        <v>29</v>
      </c>
      <c r="N16" s="2" t="s">
        <v>35</v>
      </c>
      <c r="O16" s="4" t="s">
        <v>68</v>
      </c>
    </row>
    <row r="17" spans="1:15" x14ac:dyDescent="0.3">
      <c r="A17" s="5" t="s">
        <v>69</v>
      </c>
      <c r="B17" s="5" t="s">
        <v>32</v>
      </c>
      <c r="C17" s="5" t="s">
        <v>17</v>
      </c>
      <c r="D17" s="5" t="s">
        <v>38</v>
      </c>
      <c r="E17" s="5" t="s">
        <v>38</v>
      </c>
      <c r="F17" s="5" t="s">
        <v>27</v>
      </c>
      <c r="G17" s="5" t="s">
        <v>40</v>
      </c>
      <c r="H17" s="6">
        <v>45311</v>
      </c>
      <c r="I17" s="6">
        <v>45313</v>
      </c>
      <c r="J17" s="6">
        <v>45314</v>
      </c>
      <c r="K17" s="5">
        <v>2</v>
      </c>
      <c r="L17" s="5">
        <v>1</v>
      </c>
      <c r="M17" s="5" t="s">
        <v>29</v>
      </c>
      <c r="N17" s="5" t="s">
        <v>23</v>
      </c>
      <c r="O17" s="7" t="s">
        <v>70</v>
      </c>
    </row>
    <row r="18" spans="1:15" x14ac:dyDescent="0.3">
      <c r="A18" s="2" t="s">
        <v>71</v>
      </c>
      <c r="B18" s="2" t="s">
        <v>47</v>
      </c>
      <c r="C18" s="2" t="s">
        <v>26</v>
      </c>
      <c r="D18" s="2" t="s">
        <v>18</v>
      </c>
      <c r="E18" s="2" t="s">
        <v>19</v>
      </c>
      <c r="F18" s="2" t="s">
        <v>20</v>
      </c>
      <c r="G18" s="2" t="s">
        <v>28</v>
      </c>
      <c r="H18" s="3">
        <v>45312</v>
      </c>
      <c r="I18" s="2"/>
      <c r="J18" s="3">
        <v>45317</v>
      </c>
      <c r="K18" s="2">
        <v>8</v>
      </c>
      <c r="L18" s="2">
        <v>1</v>
      </c>
      <c r="M18" s="2" t="s">
        <v>22</v>
      </c>
      <c r="N18" s="2" t="s">
        <v>44</v>
      </c>
      <c r="O18" s="4" t="s">
        <v>72</v>
      </c>
    </row>
    <row r="19" spans="1:15" x14ac:dyDescent="0.3">
      <c r="A19" s="5" t="s">
        <v>73</v>
      </c>
      <c r="B19" s="5" t="s">
        <v>16</v>
      </c>
      <c r="C19" s="5" t="s">
        <v>43</v>
      </c>
      <c r="D19" s="5" t="s">
        <v>19</v>
      </c>
      <c r="E19" s="5" t="s">
        <v>19</v>
      </c>
      <c r="F19" s="5" t="s">
        <v>27</v>
      </c>
      <c r="G19" s="5" t="s">
        <v>49</v>
      </c>
      <c r="H19" s="6">
        <v>45313</v>
      </c>
      <c r="I19" s="6">
        <v>45315</v>
      </c>
      <c r="J19" s="6">
        <v>45316</v>
      </c>
      <c r="K19" s="5">
        <v>7</v>
      </c>
      <c r="L19" s="5">
        <v>1</v>
      </c>
      <c r="M19" s="5" t="s">
        <v>29</v>
      </c>
      <c r="N19" s="5" t="s">
        <v>23</v>
      </c>
      <c r="O19" s="7" t="s">
        <v>74</v>
      </c>
    </row>
    <row r="20" spans="1:15" x14ac:dyDescent="0.3">
      <c r="A20" s="2" t="s">
        <v>75</v>
      </c>
      <c r="B20" s="2" t="s">
        <v>32</v>
      </c>
      <c r="C20" s="2" t="s">
        <v>33</v>
      </c>
      <c r="D20" s="2" t="s">
        <v>34</v>
      </c>
      <c r="E20" s="2" t="s">
        <v>34</v>
      </c>
      <c r="F20" s="2" t="s">
        <v>20</v>
      </c>
      <c r="G20" s="2" t="s">
        <v>21</v>
      </c>
      <c r="H20" s="3">
        <v>45314</v>
      </c>
      <c r="I20" s="2"/>
      <c r="J20" s="3">
        <v>45319</v>
      </c>
      <c r="K20" s="2">
        <v>3</v>
      </c>
      <c r="L20" s="2">
        <v>1</v>
      </c>
      <c r="M20" s="2" t="s">
        <v>22</v>
      </c>
      <c r="N20" s="2" t="s">
        <v>35</v>
      </c>
      <c r="O20" s="4" t="s">
        <v>76</v>
      </c>
    </row>
    <row r="21" spans="1:15" x14ac:dyDescent="0.3">
      <c r="A21" s="5" t="s">
        <v>77</v>
      </c>
      <c r="B21" s="5" t="s">
        <v>47</v>
      </c>
      <c r="C21" s="5" t="s">
        <v>48</v>
      </c>
      <c r="D21" s="5" t="s">
        <v>38</v>
      </c>
      <c r="E21" s="5" t="s">
        <v>38</v>
      </c>
      <c r="F21" s="5" t="s">
        <v>39</v>
      </c>
      <c r="G21" s="5" t="s">
        <v>40</v>
      </c>
      <c r="H21" s="6">
        <v>45315</v>
      </c>
      <c r="I21" s="6">
        <v>45316</v>
      </c>
      <c r="J21" s="5"/>
      <c r="K21" s="5">
        <v>1</v>
      </c>
      <c r="L21" s="5">
        <v>1</v>
      </c>
      <c r="M21" s="5" t="s">
        <v>29</v>
      </c>
      <c r="N21" s="5" t="s">
        <v>23</v>
      </c>
      <c r="O21" s="7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opLeftCell="A4" zoomScaleNormal="100" workbookViewId="0">
      <selection activeCell="F16" sqref="F16"/>
    </sheetView>
  </sheetViews>
  <sheetFormatPr defaultColWidth="8.6640625" defaultRowHeight="14.4" x14ac:dyDescent="0.3"/>
  <cols>
    <col min="1" max="1" width="12" customWidth="1"/>
    <col min="2" max="6" width="24" customWidth="1"/>
  </cols>
  <sheetData>
    <row r="1" spans="1:6" x14ac:dyDescent="0.3">
      <c r="A1" s="30" t="s">
        <v>79</v>
      </c>
      <c r="B1" s="30"/>
      <c r="C1" s="30"/>
      <c r="D1" s="30"/>
      <c r="E1" s="30"/>
    </row>
    <row r="2" spans="1:6" ht="26.4" x14ac:dyDescent="0.3">
      <c r="A2" s="1" t="s">
        <v>0</v>
      </c>
      <c r="B2" s="1" t="s">
        <v>80</v>
      </c>
      <c r="C2" s="1" t="s">
        <v>81</v>
      </c>
      <c r="D2" s="1" t="s">
        <v>82</v>
      </c>
      <c r="E2" s="1" t="s">
        <v>83</v>
      </c>
    </row>
    <row r="3" spans="1:6" x14ac:dyDescent="0.3">
      <c r="A3" s="5" t="s">
        <v>15</v>
      </c>
      <c r="B3" s="8" t="str">
        <f ca="1">OFFSET(Dataset!A1, 1, 2)</f>
        <v>Login</v>
      </c>
      <c r="C3" s="8" cm="1">
        <f t="array" aca="1" ref="C3" ca="1">INDIRECT("Dataset!K"&amp;(ROW(A1)+1))</f>
        <v>8</v>
      </c>
      <c r="D3" s="8" t="str">
        <f ca="1">OFFSET(Dataset!$A$1,MATCH(A3,Dataset!$A:$A,0)-1,3)</f>
        <v>Critical</v>
      </c>
      <c r="E3" s="8" t="str" cm="1">
        <f t="array" aca="1" ref="E3" ca="1">INDIRECT("Dataset!G"&amp;(ROW(A1)+1))</f>
        <v>Alice</v>
      </c>
    </row>
    <row r="4" spans="1:6" x14ac:dyDescent="0.3">
      <c r="A4" s="2" t="s">
        <v>25</v>
      </c>
      <c r="B4" s="8" t="str">
        <f ca="1">OFFSET(Dataset!A2, 1, 2)</f>
        <v>Dashboard</v>
      </c>
      <c r="C4" s="8" cm="1">
        <f t="array" aca="1" ref="C4" ca="1">INDIRECT("Dataset!K"&amp;(ROW(A2)+1))</f>
        <v>5</v>
      </c>
      <c r="D4" s="9" t="str">
        <f ca="1">OFFSET(Dataset!$A$1,MATCH(A4,Dataset!$A:$A,0)-1,3)</f>
        <v>High</v>
      </c>
      <c r="E4" s="8" t="str" cm="1">
        <f t="array" aca="1" ref="E4" ca="1">INDIRECT("Dataset!G"&amp;(ROW(A2)+1))</f>
        <v>Bob</v>
      </c>
    </row>
    <row r="5" spans="1:6" x14ac:dyDescent="0.3">
      <c r="A5" s="5" t="s">
        <v>31</v>
      </c>
      <c r="B5" s="8" t="str">
        <f ca="1">OFFSET(Dataset!A3, 1, 2)</f>
        <v>Reports</v>
      </c>
      <c r="C5" s="8" cm="1">
        <f t="array" aca="1" ref="C5" ca="1">INDIRECT("Dataset!K"&amp;(ROW(A3)+1))</f>
        <v>3</v>
      </c>
      <c r="D5" s="8" t="str">
        <f ca="1">OFFSET(Dataset!$A$1,MATCH(A5,Dataset!$A:$A,0)-1,3)</f>
        <v>Medium</v>
      </c>
      <c r="E5" s="8" t="str" cm="1">
        <f t="array" aca="1" ref="E5" ca="1">INDIRECT("Dataset!G"&amp;(ROW(A3)+1))</f>
        <v>Alice</v>
      </c>
    </row>
    <row r="6" spans="1:6" x14ac:dyDescent="0.3">
      <c r="A6" s="2" t="s">
        <v>37</v>
      </c>
      <c r="B6" s="8" t="str">
        <f ca="1">OFFSET(Dataset!A4, 1, 2)</f>
        <v>Login</v>
      </c>
      <c r="C6" s="8" cm="1">
        <f t="array" aca="1" ref="C6" ca="1">INDIRECT("Dataset!K"&amp;(ROW(A4)+1))</f>
        <v>2</v>
      </c>
      <c r="D6" s="9" t="str">
        <f ca="1">OFFSET(Dataset!$A$1,MATCH(A6,Dataset!$A:$A,0)-1,3)</f>
        <v>Low</v>
      </c>
      <c r="E6" s="8" t="str" cm="1">
        <f t="array" aca="1" ref="E6" ca="1">INDIRECT("Dataset!G"&amp;(ROW(A4)+1))</f>
        <v>Charlie</v>
      </c>
    </row>
    <row r="7" spans="1:6" x14ac:dyDescent="0.3">
      <c r="A7" s="5" t="s">
        <v>42</v>
      </c>
      <c r="B7" s="8" t="str">
        <f ca="1">OFFSET(Dataset!A5, 1, 2)</f>
        <v>Payments</v>
      </c>
      <c r="C7" s="8" cm="1">
        <f t="array" aca="1" ref="C7" ca="1">INDIRECT("Dataset!K"&amp;(ROW(A5)+1))</f>
        <v>10</v>
      </c>
      <c r="D7" s="8" t="str">
        <f ca="1">OFFSET(Dataset!$A$1,MATCH(A7,Dataset!$A:$A,0)-1,3)</f>
        <v>Critical</v>
      </c>
      <c r="E7" s="8" t="str" cm="1">
        <f t="array" aca="1" ref="E7" ca="1">INDIRECT("Dataset!G"&amp;(ROW(A5)+1))</f>
        <v>Bob</v>
      </c>
    </row>
    <row r="8" spans="1:6" x14ac:dyDescent="0.3">
      <c r="A8" s="2" t="s">
        <v>46</v>
      </c>
      <c r="B8" s="8" t="str">
        <f ca="1">OFFSET(Dataset!A6, 1, 2)</f>
        <v>Search</v>
      </c>
      <c r="C8" s="8" cm="1">
        <f t="array" aca="1" ref="C8" ca="1">INDIRECT("Dataset!K"&amp;(ROW(A6)+1))</f>
        <v>4</v>
      </c>
      <c r="D8" s="9" t="str">
        <f ca="1">OFFSET(Dataset!$A$1,MATCH(A8,Dataset!$A:$A,0)-1,3)</f>
        <v>High</v>
      </c>
      <c r="E8" s="8" t="str" cm="1">
        <f t="array" aca="1" ref="E8" ca="1">INDIRECT("Dataset!G"&amp;(ROW(A6)+1))</f>
        <v>Diana</v>
      </c>
    </row>
    <row r="9" spans="1:6" x14ac:dyDescent="0.3">
      <c r="A9" s="5" t="s">
        <v>51</v>
      </c>
      <c r="B9" s="8" t="str">
        <f ca="1">OFFSET(Dataset!A7, 1, 2)</f>
        <v>Reports</v>
      </c>
      <c r="C9" s="8" cm="1">
        <f t="array" aca="1" ref="C9" ca="1">INDIRECT("Dataset!K"&amp;(ROW(A7)+1))</f>
        <v>3</v>
      </c>
      <c r="D9" s="8" t="str">
        <f ca="1">OFFSET(Dataset!$A$1,MATCH(A9,Dataset!$A:$A,0)-1,3)</f>
        <v>Medium</v>
      </c>
      <c r="E9" s="8" t="str" cm="1">
        <f t="array" aca="1" ref="E9" ca="1">INDIRECT("Dataset!G"&amp;(ROW(A7)+1))</f>
        <v>Charlie</v>
      </c>
    </row>
    <row r="10" spans="1:6" x14ac:dyDescent="0.3">
      <c r="A10" s="2" t="s">
        <v>53</v>
      </c>
      <c r="B10" s="8" t="str">
        <f ca="1">OFFSET(Dataset!A8, 1, 2)</f>
        <v>Login</v>
      </c>
      <c r="C10" s="8" cm="1">
        <f t="array" aca="1" ref="C10" ca="1">INDIRECT("Dataset!K"&amp;(ROW(A8)+1))</f>
        <v>2</v>
      </c>
      <c r="D10" s="9" t="str">
        <f ca="1">OFFSET(Dataset!$A$1,MATCH(A10,Dataset!$A:$A,0)-1,3)</f>
        <v>Low</v>
      </c>
      <c r="E10" s="8" t="str" cm="1">
        <f t="array" aca="1" ref="E10" ca="1">INDIRECT("Dataset!G"&amp;(ROW(A8)+1))</f>
        <v>Alice</v>
      </c>
    </row>
    <row r="11" spans="1:6" x14ac:dyDescent="0.3">
      <c r="A11" s="5" t="s">
        <v>55</v>
      </c>
      <c r="B11" s="8" t="str">
        <f ca="1">OFFSET(Dataset!A9, 1, 2)</f>
        <v>Dashboard</v>
      </c>
      <c r="C11" s="8" cm="1">
        <f t="array" aca="1" ref="C11" ca="1">INDIRECT("Dataset!K"&amp;(ROW(A9)+1))</f>
        <v>7</v>
      </c>
      <c r="D11" s="8" t="str">
        <f ca="1">OFFSET(Dataset!$A$1,MATCH(A11,Dataset!$A:$A,0)-1,3)</f>
        <v>Critical</v>
      </c>
      <c r="E11" s="8" t="str" cm="1">
        <f t="array" aca="1" ref="E11" ca="1">INDIRECT("Dataset!G"&amp;(ROW(A9)+1))</f>
        <v>Bob</v>
      </c>
    </row>
    <row r="12" spans="1:6" x14ac:dyDescent="0.3">
      <c r="A12" s="2" t="s">
        <v>57</v>
      </c>
      <c r="B12" s="8" t="b">
        <f ca="1">F12=OFFSET(Dataset!A10, 1, 2)</f>
        <v>0</v>
      </c>
      <c r="C12" s="8" cm="1">
        <f t="array" aca="1" ref="C12" ca="1">INDIRECT("Dataset!K"&amp;(ROW(A10)+1))</f>
        <v>6</v>
      </c>
      <c r="D12" s="9" t="str">
        <f ca="1">OFFSET(Dataset!$A$1,MATCH(A12,Dataset!$A:$A,0)-1,3)</f>
        <v>High</v>
      </c>
      <c r="E12" s="8" t="str" cm="1">
        <f t="array" aca="1" ref="E12" ca="1">INDIRECT("Dataset!G"&amp;(ROW(A10)+1))</f>
        <v>Diana</v>
      </c>
    </row>
    <row r="14" spans="1:6" x14ac:dyDescent="0.3">
      <c r="A14" s="30" t="s">
        <v>84</v>
      </c>
      <c r="B14" s="30"/>
      <c r="C14" s="30"/>
      <c r="D14" s="30"/>
      <c r="E14" s="30"/>
      <c r="F14" s="30"/>
    </row>
    <row r="15" spans="1:6" ht="26.4" x14ac:dyDescent="0.3">
      <c r="A15" s="1" t="s">
        <v>0</v>
      </c>
      <c r="B15" s="1" t="s">
        <v>5</v>
      </c>
      <c r="C15" s="1" t="s">
        <v>85</v>
      </c>
      <c r="D15" s="1" t="s">
        <v>86</v>
      </c>
      <c r="E15" s="1" t="s">
        <v>87</v>
      </c>
      <c r="F15" s="1" t="s">
        <v>88</v>
      </c>
    </row>
    <row r="16" spans="1:6" x14ac:dyDescent="0.3">
      <c r="A16" s="2" t="s">
        <v>25</v>
      </c>
      <c r="B16" s="9" t="str">
        <f ca="1">OFFSET(Dataset!A10, 1, 5)</f>
        <v>Resolved</v>
      </c>
      <c r="C16" s="9" t="str">
        <f ca="1">IF(OFFSET(Dataset!A1,1,4)="High","High","Normal")</f>
        <v>High</v>
      </c>
      <c r="D16" s="9">
        <f>IFERROR(Dataset!I2,"error")</f>
        <v>0</v>
      </c>
      <c r="E16" s="9" t="str">
        <f ca="1">IF(OFFSET(Dataset!$A$1,1,10)&gt;7,"Heavy",IF(OFFSET(Dataset!$A$1,1,10)&gt;3,"Medium","Light"))</f>
        <v>Heavy</v>
      </c>
      <c r="F16" s="9"/>
    </row>
    <row r="17" spans="1:6" x14ac:dyDescent="0.3">
      <c r="A17" s="5" t="s">
        <v>31</v>
      </c>
      <c r="B17" s="9" t="str">
        <f ca="1">OFFSET(Dataset!A11, 1, 5)</f>
        <v>Open</v>
      </c>
      <c r="C17" s="9" t="str">
        <f ca="1">IF(OFFSET(Dataset!A2,1,4)="High","High","Normal")</f>
        <v>High</v>
      </c>
      <c r="D17" s="9">
        <f>IFERROR(Dataset!I3,"error")</f>
        <v>45299</v>
      </c>
      <c r="E17" s="8" t="str">
        <f ca="1">IF(OFFSET(Dataset!$A$1,2,10)&gt;7,"Heavy",IF(OFFSET(Dataset!$A$1,2,10)&gt;3,"Medium","Light"))</f>
        <v>Medium</v>
      </c>
      <c r="F17" s="8"/>
    </row>
    <row r="18" spans="1:6" x14ac:dyDescent="0.3">
      <c r="A18" s="2" t="s">
        <v>37</v>
      </c>
      <c r="B18" s="9" t="str">
        <f ca="1">OFFSET(Dataset!A12, 1, 5)</f>
        <v>Closed</v>
      </c>
      <c r="C18" s="9" t="str">
        <f ca="1">IF(OFFSET(Dataset!A3,1,4)="High","High","Normal")</f>
        <v>Normal</v>
      </c>
      <c r="D18" s="9">
        <f>IFERROR(Dataset!I4,"error")</f>
        <v>0</v>
      </c>
      <c r="E18" s="9" t="str">
        <f ca="1">IF(OFFSET(Dataset!$A$1,3,10)&gt;7,"Heavy",IF(OFFSET(Dataset!$A$1,3,10)&gt;3,"Medium","Light"))</f>
        <v>Light</v>
      </c>
      <c r="F18" s="9"/>
    </row>
    <row r="19" spans="1:6" x14ac:dyDescent="0.3">
      <c r="A19" s="5" t="s">
        <v>42</v>
      </c>
      <c r="B19" s="9" t="str">
        <f ca="1">OFFSET(Dataset!A13, 1, 5)</f>
        <v>Resolved</v>
      </c>
      <c r="C19" s="9" t="str">
        <f ca="1">IF(OFFSET(Dataset!A4,1,4)="High","High","Normal")</f>
        <v>Normal</v>
      </c>
      <c r="D19" s="9">
        <f>IFERROR(Dataset!I5,"error")</f>
        <v>45300</v>
      </c>
      <c r="E19" s="8" t="str">
        <f ca="1">IF(OFFSET(Dataset!$A$1,4,10)&gt;7,"Heavy",IF(OFFSET(Dataset!$A$1,4,10)&gt;3,"Medium","Light"))</f>
        <v>Light</v>
      </c>
      <c r="F19" s="8"/>
    </row>
    <row r="20" spans="1:6" x14ac:dyDescent="0.3">
      <c r="A20" s="2" t="s">
        <v>46</v>
      </c>
      <c r="B20" s="9" t="str">
        <f ca="1">OFFSET(Dataset!A14, 1, 5)</f>
        <v>Open</v>
      </c>
      <c r="C20" s="9" t="str">
        <f ca="1">IF(OFFSET(Dataset!A5,1,4)="High","High","Normal")</f>
        <v>High</v>
      </c>
      <c r="D20" s="9">
        <f>IFERROR(Dataset!I6,"error")</f>
        <v>45302</v>
      </c>
      <c r="E20" s="9" t="str">
        <f ca="1">IF(OFFSET(Dataset!$A$1,5,10)&gt;7,"Heavy",IF(OFFSET(Dataset!$A$1,5,10)&gt;3,"Medium","Light"))</f>
        <v>Heavy</v>
      </c>
      <c r="F20" s="9"/>
    </row>
    <row r="21" spans="1:6" x14ac:dyDescent="0.3">
      <c r="A21" s="5" t="s">
        <v>51</v>
      </c>
      <c r="B21" s="9" t="str">
        <f ca="1">OFFSET(Dataset!A15, 1, 5)</f>
        <v>Closed</v>
      </c>
      <c r="C21" s="9" t="str">
        <f ca="1">IF(OFFSET(Dataset!A6,1,4)="High","High","Normal")</f>
        <v>Normal</v>
      </c>
      <c r="D21" s="9">
        <f>IFERROR(Dataset!I7,"error")</f>
        <v>0</v>
      </c>
      <c r="E21" s="8" t="str">
        <f ca="1">IF(OFFSET(Dataset!$A$1,6,10)&gt;7,"Heavy",IF(OFFSET(Dataset!$A$1,6,10)&gt;3,"Medium","Light"))</f>
        <v>Medium</v>
      </c>
      <c r="F21" s="8"/>
    </row>
    <row r="22" spans="1:6" x14ac:dyDescent="0.3">
      <c r="A22" s="2" t="s">
        <v>53</v>
      </c>
      <c r="B22" s="9" t="str">
        <f ca="1">OFFSET(Dataset!A16, 1, 5)</f>
        <v>Resolved</v>
      </c>
      <c r="C22" s="9" t="str">
        <f ca="1">IF(OFFSET(Dataset!A7,1,4)="High","High","Normal")</f>
        <v>Normal</v>
      </c>
      <c r="D22" s="9">
        <f>IFERROR(Dataset!I8,"error")</f>
        <v>45304</v>
      </c>
      <c r="E22" s="9" t="str">
        <f ca="1">IF(OFFSET(Dataset!$A$1,7,10)&gt;7,"Heavy",IF(OFFSET(Dataset!$A$1,7,10)&gt;3,"Medium","Light"))</f>
        <v>Light</v>
      </c>
      <c r="F22" s="9"/>
    </row>
    <row r="23" spans="1:6" x14ac:dyDescent="0.3">
      <c r="A23" s="5" t="s">
        <v>55</v>
      </c>
      <c r="B23" s="9" t="str">
        <f ca="1">OFFSET(Dataset!A17, 1, 5)</f>
        <v>Open</v>
      </c>
      <c r="C23" s="9" t="str">
        <f ca="1">IF(OFFSET(Dataset!A8,1,4)="High","High","Normal")</f>
        <v>Normal</v>
      </c>
      <c r="D23" s="9">
        <f>IFERROR(Dataset!I9,"error")</f>
        <v>45305</v>
      </c>
      <c r="E23" s="8" t="str">
        <f ca="1">IF(OFFSET(Dataset!$A$1,8,10)&gt;7,"Heavy",IF(OFFSET(Dataset!$A$1,8,10)&gt;3,"Medium","Light"))</f>
        <v>Light</v>
      </c>
      <c r="F23" s="8"/>
    </row>
    <row r="24" spans="1:6" x14ac:dyDescent="0.3">
      <c r="A24" s="2" t="s">
        <v>57</v>
      </c>
      <c r="B24" s="9" t="str">
        <f ca="1">OFFSET(Dataset!A18, 1, 5)</f>
        <v>Resolved</v>
      </c>
      <c r="C24" s="9" t="str">
        <f ca="1">IF(OFFSET(Dataset!A9,1,4)="High","High","Normal")</f>
        <v>High</v>
      </c>
      <c r="D24" s="9">
        <f>IFERROR(Dataset!I10,"error")</f>
        <v>0</v>
      </c>
      <c r="E24" s="9" t="str">
        <f ca="1">IF(OFFSET(Dataset!$A$1,9,10)&gt;7,"Heavy",IF(OFFSET(Dataset!$A$1,9,10)&gt;3,"Medium","Light"))</f>
        <v>Medium</v>
      </c>
      <c r="F24" s="9"/>
    </row>
    <row r="25" spans="1:6" x14ac:dyDescent="0.3">
      <c r="A25" s="5" t="s">
        <v>59</v>
      </c>
      <c r="B25" s="9" t="str">
        <f ca="1">OFFSET(Dataset!A19, 1, 5)</f>
        <v>Open</v>
      </c>
      <c r="C25" s="9" t="str">
        <f ca="1">IF(OFFSET(Dataset!A10,1,4)="High","High","Normal")</f>
        <v>High</v>
      </c>
      <c r="D25" s="9">
        <f>IFERROR(Dataset!I11,"error")</f>
        <v>45307</v>
      </c>
      <c r="E25" s="8" t="str">
        <f ca="1">IF(OFFSET(Dataset!$A$1,10,10)&gt;7,"Heavy",IF(OFFSET(Dataset!$A$1,10,10)&gt;3,"Medium","Light"))</f>
        <v>Medium</v>
      </c>
      <c r="F25" s="8"/>
    </row>
  </sheetData>
  <mergeCells count="2">
    <mergeCell ref="A1:E1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"/>
  <sheetViews>
    <sheetView topLeftCell="M1" zoomScaleNormal="100" workbookViewId="0">
      <selection activeCell="A2" sqref="A2"/>
    </sheetView>
  </sheetViews>
  <sheetFormatPr defaultColWidth="8.6640625" defaultRowHeight="14.4" x14ac:dyDescent="0.3"/>
  <cols>
    <col min="1" max="5" width="10" customWidth="1"/>
    <col min="6" max="6" width="14" customWidth="1"/>
  </cols>
  <sheetData>
    <row r="1" spans="1:14" ht="15.6" x14ac:dyDescent="0.3">
      <c r="A1" s="31" t="s">
        <v>89</v>
      </c>
      <c r="B1" s="31"/>
      <c r="C1" s="31"/>
      <c r="D1" s="31"/>
      <c r="E1" s="31"/>
      <c r="F1" s="31"/>
      <c r="G1" s="31"/>
      <c r="H1" s="31"/>
      <c r="J1" s="32" t="s">
        <v>90</v>
      </c>
      <c r="K1" s="32"/>
      <c r="L1" s="32"/>
      <c r="M1" s="32"/>
      <c r="N1" s="32"/>
    </row>
    <row r="2" spans="1:14" x14ac:dyDescent="0.3">
      <c r="A2" s="1" t="s">
        <v>91</v>
      </c>
      <c r="B2" s="1" t="s">
        <v>29</v>
      </c>
      <c r="C2" s="1" t="s">
        <v>22</v>
      </c>
      <c r="D2" s="1" t="s">
        <v>92</v>
      </c>
      <c r="E2" s="1" t="s">
        <v>93</v>
      </c>
      <c r="F2" s="1" t="s">
        <v>92</v>
      </c>
    </row>
    <row r="3" spans="1:14" x14ac:dyDescent="0.3">
      <c r="A3" s="2" t="s">
        <v>16</v>
      </c>
      <c r="B3" s="2">
        <v>1</v>
      </c>
      <c r="C3" s="2">
        <v>2</v>
      </c>
      <c r="D3" s="2">
        <v>2</v>
      </c>
      <c r="E3" s="2">
        <v>2</v>
      </c>
      <c r="F3" s="9">
        <f>SUM(B3:E3)</f>
        <v>7</v>
      </c>
      <c r="J3" s="2" t="s">
        <v>94</v>
      </c>
      <c r="K3" s="2">
        <v>6</v>
      </c>
      <c r="L3" s="2">
        <v>4</v>
      </c>
      <c r="M3" s="9">
        <f>K3+L3</f>
        <v>10</v>
      </c>
      <c r="N3" s="10">
        <f>IFERROR(K3/M3,0)</f>
        <v>0.6</v>
      </c>
    </row>
    <row r="4" spans="1:14" x14ac:dyDescent="0.3">
      <c r="A4" s="5" t="s">
        <v>32</v>
      </c>
      <c r="B4" s="5">
        <v>2</v>
      </c>
      <c r="C4" s="5">
        <v>2</v>
      </c>
      <c r="D4" s="5">
        <v>2</v>
      </c>
      <c r="E4" s="5">
        <v>1</v>
      </c>
      <c r="F4" s="8">
        <f>SUM(B4:E4)</f>
        <v>7</v>
      </c>
      <c r="J4" s="5" t="s">
        <v>95</v>
      </c>
      <c r="K4" s="5">
        <v>8</v>
      </c>
      <c r="L4" s="5">
        <v>3</v>
      </c>
      <c r="M4" s="8">
        <f>K4+L4</f>
        <v>11</v>
      </c>
      <c r="N4" s="11">
        <f>IFERROR(K4/M4,0)</f>
        <v>0.72727272727272729</v>
      </c>
    </row>
    <row r="5" spans="1:14" x14ac:dyDescent="0.3">
      <c r="A5" s="2" t="s">
        <v>47</v>
      </c>
      <c r="B5" s="2">
        <v>2</v>
      </c>
      <c r="C5" s="2">
        <v>2</v>
      </c>
      <c r="D5" s="2">
        <v>1</v>
      </c>
      <c r="E5" s="2">
        <v>2</v>
      </c>
      <c r="F5" s="9">
        <f>SUM(B5:E5)</f>
        <v>7</v>
      </c>
      <c r="J5" s="2" t="s">
        <v>96</v>
      </c>
      <c r="K5" s="2">
        <v>7</v>
      </c>
      <c r="L5" s="2">
        <v>5</v>
      </c>
      <c r="M5" s="9">
        <f>K5+L5</f>
        <v>12</v>
      </c>
      <c r="N5" s="10">
        <f>IFERROR(K5/M5,0)</f>
        <v>0.58333333333333337</v>
      </c>
    </row>
    <row r="6" spans="1:14" x14ac:dyDescent="0.3">
      <c r="A6" s="12" t="s">
        <v>92</v>
      </c>
      <c r="B6" s="13">
        <f>SUM(B3:B5)</f>
        <v>5</v>
      </c>
      <c r="C6" s="13">
        <f>SUM(C3:C5)</f>
        <v>6</v>
      </c>
      <c r="D6" s="13">
        <f>SUM(D3:D5)</f>
        <v>5</v>
      </c>
      <c r="E6" s="13">
        <f>SUM(E3:E5)</f>
        <v>5</v>
      </c>
      <c r="F6" s="13">
        <f>SUM(F3:F5)</f>
        <v>21</v>
      </c>
      <c r="J6" s="5" t="s">
        <v>97</v>
      </c>
      <c r="K6" s="5">
        <v>10</v>
      </c>
      <c r="L6" s="5">
        <v>2</v>
      </c>
      <c r="M6" s="8">
        <f>K6+L6</f>
        <v>12</v>
      </c>
      <c r="N6" s="11">
        <f>IFERROR(K6/M6,0)</f>
        <v>0.83333333333333337</v>
      </c>
    </row>
    <row r="7" spans="1:14" x14ac:dyDescent="0.3">
      <c r="J7" s="2" t="s">
        <v>98</v>
      </c>
      <c r="K7" s="2">
        <v>9</v>
      </c>
      <c r="L7" s="2">
        <v>1</v>
      </c>
      <c r="M7" s="9">
        <f>K7+L7</f>
        <v>10</v>
      </c>
      <c r="N7" s="10">
        <f>IFERROR(K7/M7,0)</f>
        <v>0.9</v>
      </c>
    </row>
  </sheetData>
  <mergeCells count="2">
    <mergeCell ref="A1:H1"/>
    <mergeCell ref="J1:N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topLeftCell="E1" zoomScaleNormal="100" workbookViewId="0">
      <selection activeCell="J17" sqref="J17"/>
    </sheetView>
  </sheetViews>
  <sheetFormatPr defaultColWidth="8.6640625" defaultRowHeight="14.4" x14ac:dyDescent="0.3"/>
  <cols>
    <col min="1" max="10" width="22" customWidth="1"/>
  </cols>
  <sheetData>
    <row r="1" spans="1:10" ht="15.6" x14ac:dyDescent="0.3">
      <c r="A1" s="31" t="s">
        <v>99</v>
      </c>
      <c r="B1" s="31"/>
      <c r="C1" s="31"/>
      <c r="D1" s="31"/>
      <c r="E1" s="31"/>
      <c r="F1" s="31"/>
      <c r="G1" s="31"/>
      <c r="H1" s="31"/>
      <c r="I1" s="31"/>
    </row>
    <row r="2" spans="1:10" ht="26.4" x14ac:dyDescent="0.3">
      <c r="A2" s="1" t="s">
        <v>0</v>
      </c>
      <c r="B2" s="1" t="s">
        <v>7</v>
      </c>
      <c r="C2" s="1" t="s">
        <v>8</v>
      </c>
      <c r="D2" s="1" t="s">
        <v>100</v>
      </c>
      <c r="E2" s="1" t="s">
        <v>101</v>
      </c>
      <c r="F2" s="1" t="s">
        <v>102</v>
      </c>
      <c r="G2" s="1" t="s">
        <v>103</v>
      </c>
      <c r="H2" s="1" t="s">
        <v>104</v>
      </c>
      <c r="I2" s="1" t="s">
        <v>105</v>
      </c>
    </row>
    <row r="3" spans="1:10" x14ac:dyDescent="0.3">
      <c r="A3" s="9" t="s">
        <v>25</v>
      </c>
      <c r="B3" s="14">
        <f ca="1">OFFSET(Dataset!A1, 2, 7)</f>
        <v>45297</v>
      </c>
      <c r="C3" s="34">
        <f>IFERROR(Dataset!I3,"error")</f>
        <v>45299</v>
      </c>
      <c r="D3" s="9">
        <f ca="1">IFERROR(DATEDIF(B3,C3,"D"),"Still Open")</f>
        <v>2</v>
      </c>
      <c r="E3" s="9">
        <f ca="1">NETWORKDAYS(B3,C3)</f>
        <v>1</v>
      </c>
      <c r="F3" s="9" t="str">
        <f ca="1">TEXT(EOMONTH(B3,0),"dd mmm yyyy")</f>
        <v>31 Jan 2024</v>
      </c>
      <c r="G3" s="9">
        <f ca="1">WEEKNUM(B3,2)</f>
        <v>1</v>
      </c>
      <c r="H3" s="14">
        <f ca="1">TODAY()</f>
        <v>46192</v>
      </c>
      <c r="I3" s="35">
        <f ca="1">TODAY()-B3</f>
        <v>895</v>
      </c>
    </row>
    <row r="4" spans="1:10" x14ac:dyDescent="0.3">
      <c r="A4" s="8" t="s">
        <v>31</v>
      </c>
      <c r="B4" s="14">
        <f ca="1">OFFSET(Dataset!A2, 2, 7)</f>
        <v>45298</v>
      </c>
      <c r="C4" s="9">
        <f>IFERROR(Dataset!I4,"error")</f>
        <v>0</v>
      </c>
      <c r="D4" s="9" t="str">
        <f t="shared" ref="D4:D12" ca="1" si="0">IFERROR(DATEDIF(B4,C4,"D"),"Still Open")</f>
        <v>Still Open</v>
      </c>
      <c r="E4" s="9">
        <f t="shared" ref="E4:E12" ca="1" si="1">NETWORKDAYS(B4,C4)</f>
        <v>-32355</v>
      </c>
      <c r="F4" s="9" t="str">
        <f t="shared" ref="F4:F12" ca="1" si="2">TEXT(EOMONTH(B4,0),"dd mmm yyyy")</f>
        <v>31 Jan 2024</v>
      </c>
      <c r="G4" s="9">
        <f t="shared" ref="G4:G12" ca="1" si="3">WEEKNUM(B4,2)</f>
        <v>1</v>
      </c>
      <c r="H4" s="14">
        <f t="shared" ref="H4:H12" ca="1" si="4">TODAY()</f>
        <v>46192</v>
      </c>
      <c r="I4" s="35">
        <f t="shared" ref="I4:I12" ca="1" si="5">TODAY()-B4</f>
        <v>894</v>
      </c>
    </row>
    <row r="5" spans="1:10" x14ac:dyDescent="0.3">
      <c r="A5" s="9" t="s">
        <v>37</v>
      </c>
      <c r="B5" s="14">
        <f ca="1">OFFSET(Dataset!A3, 2, 7)</f>
        <v>45299</v>
      </c>
      <c r="C5" s="34">
        <f>IFERROR(Dataset!I5,"error")</f>
        <v>45300</v>
      </c>
      <c r="D5" s="9">
        <f t="shared" ca="1" si="0"/>
        <v>1</v>
      </c>
      <c r="E5" s="9">
        <f t="shared" ca="1" si="1"/>
        <v>2</v>
      </c>
      <c r="F5" s="9" t="str">
        <f t="shared" ca="1" si="2"/>
        <v>31 Jan 2024</v>
      </c>
      <c r="G5" s="9">
        <f t="shared" ca="1" si="3"/>
        <v>2</v>
      </c>
      <c r="H5" s="14">
        <f t="shared" ca="1" si="4"/>
        <v>46192</v>
      </c>
      <c r="I5" s="35">
        <f t="shared" ca="1" si="5"/>
        <v>893</v>
      </c>
    </row>
    <row r="6" spans="1:10" x14ac:dyDescent="0.3">
      <c r="A6" s="8" t="s">
        <v>42</v>
      </c>
      <c r="B6" s="14">
        <f ca="1">OFFSET(Dataset!A4, 2, 7)</f>
        <v>45300</v>
      </c>
      <c r="C6" s="34">
        <f>IFERROR(Dataset!I6,"error")</f>
        <v>45302</v>
      </c>
      <c r="D6" s="9">
        <f t="shared" ca="1" si="0"/>
        <v>2</v>
      </c>
      <c r="E6" s="9">
        <f t="shared" ca="1" si="1"/>
        <v>3</v>
      </c>
      <c r="F6" s="9" t="str">
        <f t="shared" ca="1" si="2"/>
        <v>31 Jan 2024</v>
      </c>
      <c r="G6" s="9">
        <f t="shared" ca="1" si="3"/>
        <v>2</v>
      </c>
      <c r="H6" s="14">
        <f t="shared" ca="1" si="4"/>
        <v>46192</v>
      </c>
      <c r="I6" s="35">
        <f t="shared" ca="1" si="5"/>
        <v>892</v>
      </c>
    </row>
    <row r="7" spans="1:10" x14ac:dyDescent="0.3">
      <c r="A7" s="9" t="s">
        <v>46</v>
      </c>
      <c r="B7" s="14">
        <f ca="1">OFFSET(Dataset!A5, 2, 7)</f>
        <v>45301</v>
      </c>
      <c r="C7" s="9">
        <f>IFERROR(Dataset!I7,"error")</f>
        <v>0</v>
      </c>
      <c r="D7" s="9" t="str">
        <f t="shared" ca="1" si="0"/>
        <v>Still Open</v>
      </c>
      <c r="E7" s="9">
        <f t="shared" ca="1" si="1"/>
        <v>-32358</v>
      </c>
      <c r="F7" s="9" t="str">
        <f t="shared" ca="1" si="2"/>
        <v>31 Jan 2024</v>
      </c>
      <c r="G7" s="9">
        <f t="shared" ca="1" si="3"/>
        <v>2</v>
      </c>
      <c r="H7" s="14">
        <f t="shared" ca="1" si="4"/>
        <v>46192</v>
      </c>
      <c r="I7" s="35">
        <f t="shared" ca="1" si="5"/>
        <v>891</v>
      </c>
    </row>
    <row r="8" spans="1:10" x14ac:dyDescent="0.3">
      <c r="A8" s="8" t="s">
        <v>51</v>
      </c>
      <c r="B8" s="14">
        <f ca="1">OFFSET(Dataset!A6, 2, 7)</f>
        <v>45302</v>
      </c>
      <c r="C8" s="34">
        <f>IFERROR(Dataset!I8,"error")</f>
        <v>45304</v>
      </c>
      <c r="D8" s="9">
        <f t="shared" ca="1" si="0"/>
        <v>2</v>
      </c>
      <c r="E8" s="9">
        <f t="shared" ca="1" si="1"/>
        <v>2</v>
      </c>
      <c r="F8" s="9" t="str">
        <f t="shared" ca="1" si="2"/>
        <v>31 Jan 2024</v>
      </c>
      <c r="G8" s="9">
        <f t="shared" ca="1" si="3"/>
        <v>2</v>
      </c>
      <c r="H8" s="14">
        <f t="shared" ca="1" si="4"/>
        <v>46192</v>
      </c>
      <c r="I8" s="35">
        <f t="shared" ca="1" si="5"/>
        <v>890</v>
      </c>
    </row>
    <row r="9" spans="1:10" x14ac:dyDescent="0.3">
      <c r="A9" s="9" t="s">
        <v>53</v>
      </c>
      <c r="B9" s="14">
        <f ca="1">OFFSET(Dataset!A7, 2, 7)</f>
        <v>45303</v>
      </c>
      <c r="C9" s="34">
        <f>IFERROR(Dataset!I9,"error")</f>
        <v>45305</v>
      </c>
      <c r="D9" s="9">
        <f t="shared" ca="1" si="0"/>
        <v>2</v>
      </c>
      <c r="E9" s="9">
        <f t="shared" ca="1" si="1"/>
        <v>1</v>
      </c>
      <c r="F9" s="9" t="str">
        <f t="shared" ca="1" si="2"/>
        <v>31 Jan 2024</v>
      </c>
      <c r="G9" s="9">
        <f t="shared" ca="1" si="3"/>
        <v>2</v>
      </c>
      <c r="H9" s="14">
        <f t="shared" ca="1" si="4"/>
        <v>46192</v>
      </c>
      <c r="I9" s="35">
        <f t="shared" ca="1" si="5"/>
        <v>889</v>
      </c>
    </row>
    <row r="10" spans="1:10" x14ac:dyDescent="0.3">
      <c r="A10" s="8" t="s">
        <v>55</v>
      </c>
      <c r="B10" s="14">
        <f ca="1">OFFSET(Dataset!A8, 2, 7)</f>
        <v>45304</v>
      </c>
      <c r="C10" s="9">
        <f>IFERROR(Dataset!I10,"error")</f>
        <v>0</v>
      </c>
      <c r="D10" s="9" t="str">
        <f t="shared" ca="1" si="0"/>
        <v>Still Open</v>
      </c>
      <c r="E10" s="9">
        <f t="shared" ca="1" si="1"/>
        <v>-32360</v>
      </c>
      <c r="F10" s="9" t="str">
        <f t="shared" ca="1" si="2"/>
        <v>31 Jan 2024</v>
      </c>
      <c r="G10" s="9">
        <f t="shared" ca="1" si="3"/>
        <v>2</v>
      </c>
      <c r="H10" s="14">
        <f t="shared" ca="1" si="4"/>
        <v>46192</v>
      </c>
      <c r="I10" s="35">
        <f t="shared" ca="1" si="5"/>
        <v>888</v>
      </c>
    </row>
    <row r="11" spans="1:10" x14ac:dyDescent="0.3">
      <c r="A11" s="9" t="s">
        <v>57</v>
      </c>
      <c r="B11" s="14">
        <f ca="1">OFFSET(Dataset!A9, 2, 7)</f>
        <v>45305</v>
      </c>
      <c r="C11" s="34">
        <f>IFERROR(Dataset!I11,"error")</f>
        <v>45307</v>
      </c>
      <c r="D11" s="9">
        <f t="shared" ca="1" si="0"/>
        <v>2</v>
      </c>
      <c r="E11" s="9">
        <f t="shared" ca="1" si="1"/>
        <v>2</v>
      </c>
      <c r="F11" s="9" t="str">
        <f t="shared" ca="1" si="2"/>
        <v>31 Jan 2024</v>
      </c>
      <c r="G11" s="9">
        <f t="shared" ca="1" si="3"/>
        <v>2</v>
      </c>
      <c r="H11" s="14">
        <f t="shared" ca="1" si="4"/>
        <v>46192</v>
      </c>
      <c r="I11" s="35">
        <f t="shared" ca="1" si="5"/>
        <v>887</v>
      </c>
    </row>
    <row r="12" spans="1:10" x14ac:dyDescent="0.3">
      <c r="A12" s="8" t="s">
        <v>59</v>
      </c>
      <c r="B12" s="14">
        <f ca="1">OFFSET(Dataset!A10, 2, 7)</f>
        <v>45306</v>
      </c>
      <c r="C12" s="9">
        <f>IFERROR(Dataset!I12,"error")</f>
        <v>0</v>
      </c>
      <c r="D12" s="9" t="str">
        <f t="shared" ca="1" si="0"/>
        <v>Still Open</v>
      </c>
      <c r="E12" s="9">
        <f t="shared" ca="1" si="1"/>
        <v>-32361</v>
      </c>
      <c r="F12" s="9" t="str">
        <f t="shared" ca="1" si="2"/>
        <v>31 Jan 2024</v>
      </c>
      <c r="G12" s="9">
        <f t="shared" ca="1" si="3"/>
        <v>3</v>
      </c>
      <c r="H12" s="14">
        <f t="shared" ca="1" si="4"/>
        <v>46192</v>
      </c>
      <c r="I12" s="35">
        <f t="shared" ca="1" si="5"/>
        <v>886</v>
      </c>
    </row>
    <row r="14" spans="1:10" x14ac:dyDescent="0.3">
      <c r="A14" s="32" t="s">
        <v>106</v>
      </c>
      <c r="B14" s="32"/>
      <c r="C14" s="32"/>
      <c r="D14" s="32"/>
      <c r="E14" s="32"/>
      <c r="F14" s="32"/>
      <c r="G14" s="32"/>
      <c r="H14" s="32"/>
      <c r="I14" s="32"/>
    </row>
    <row r="15" spans="1:10" x14ac:dyDescent="0.3">
      <c r="A15" s="1" t="s">
        <v>0</v>
      </c>
      <c r="B15" s="1" t="s">
        <v>107</v>
      </c>
      <c r="C15" s="1" t="s">
        <v>108</v>
      </c>
      <c r="D15" s="1" t="s">
        <v>109</v>
      </c>
      <c r="E15" s="1" t="s">
        <v>110</v>
      </c>
      <c r="F15" s="1" t="s">
        <v>111</v>
      </c>
      <c r="G15" s="1" t="s">
        <v>112</v>
      </c>
      <c r="H15" s="1" t="s">
        <v>113</v>
      </c>
      <c r="I15" s="1" t="s">
        <v>114</v>
      </c>
      <c r="J15" s="1" t="s">
        <v>115</v>
      </c>
    </row>
    <row r="16" spans="1:10" x14ac:dyDescent="0.3">
      <c r="A16" s="9" t="s">
        <v>25</v>
      </c>
      <c r="B16" s="15" t="str">
        <f ca="1">OFFSET(Dataset!A1, 2, 14)</f>
        <v>Dashboard loads slowly</v>
      </c>
      <c r="C16" s="16" t="str">
        <f ca="1">LEFT(B16,10)</f>
        <v xml:space="preserve">Dashboard </v>
      </c>
      <c r="D16" s="9" t="str">
        <f ca="1">RIGHT(B16,6)</f>
        <v>slowly</v>
      </c>
      <c r="E16" s="9" t="str">
        <f ca="1">MID(B16,5,4)</f>
        <v>boar</v>
      </c>
      <c r="F16" s="9" t="str">
        <f ca="1">UPPER(B16)</f>
        <v>DASHBOARD LOADS SLOWLY</v>
      </c>
      <c r="G16" s="9" t="str">
        <f>LOWER(A16)</f>
        <v>bug-002</v>
      </c>
      <c r="H16" s="9" t="str">
        <f ca="1">TRIM(B16)</f>
        <v>Dashboard loads slowly</v>
      </c>
      <c r="I16" s="9" t="str">
        <f>SUBSTITUTE(A16,"BUG","DEF")</f>
        <v>DEF-002</v>
      </c>
      <c r="J16" s="16" t="str">
        <f ca="1">_xlfn.CONCAT(A16," | ",B16)</f>
        <v>BUG-002 | Dashboard loads slowly</v>
      </c>
    </row>
    <row r="17" spans="1:10" x14ac:dyDescent="0.3">
      <c r="A17" s="8" t="s">
        <v>31</v>
      </c>
      <c r="B17" s="15" t="str">
        <f ca="1">OFFSET(Dataset!A2, 2, 14)</f>
        <v>Export to PDF fails</v>
      </c>
      <c r="C17" s="16" t="str">
        <f t="shared" ref="C17:C25" ca="1" si="6">LEFT(B17,10)</f>
        <v xml:space="preserve">Export to </v>
      </c>
      <c r="D17" s="9" t="str">
        <f t="shared" ref="D17:D25" ca="1" si="7">RIGHT(B17,6)</f>
        <v xml:space="preserve"> fails</v>
      </c>
      <c r="E17" s="9" t="str">
        <f t="shared" ref="E17:E25" ca="1" si="8">MID(B17,5,4)</f>
        <v>rt t</v>
      </c>
      <c r="F17" s="9" t="str">
        <f t="shared" ref="F17:F25" ca="1" si="9">UPPER(B17)</f>
        <v>EXPORT TO PDF FAILS</v>
      </c>
      <c r="G17" s="9" t="str">
        <f t="shared" ref="G17:G25" si="10">LOWER(A17)</f>
        <v>bug-003</v>
      </c>
      <c r="H17" s="9" t="str">
        <f t="shared" ref="H17:H25" ca="1" si="11">TRIM(B17)</f>
        <v>Export to PDF fails</v>
      </c>
      <c r="I17" s="9" t="str">
        <f t="shared" ref="I17:I25" si="12">SUBSTITUTE(A17,"BUG","DEF")</f>
        <v>DEF-003</v>
      </c>
      <c r="J17" s="16" t="str">
        <f t="shared" ref="J17:J25" ca="1" si="13">_xlfn.CONCAT(A17," | ",B17)</f>
        <v>BUG-003 | Export to PDF fails</v>
      </c>
    </row>
    <row r="18" spans="1:10" x14ac:dyDescent="0.3">
      <c r="A18" s="9" t="s">
        <v>37</v>
      </c>
      <c r="B18" s="15" t="str">
        <f ca="1">OFFSET(Dataset!A3, 2, 14)</f>
        <v>Typo in error message</v>
      </c>
      <c r="C18" s="16" t="str">
        <f t="shared" ca="1" si="6"/>
        <v>Typo in er</v>
      </c>
      <c r="D18" s="9" t="str">
        <f t="shared" ca="1" si="7"/>
        <v>essage</v>
      </c>
      <c r="E18" s="9" t="str">
        <f t="shared" ca="1" si="8"/>
        <v xml:space="preserve"> in </v>
      </c>
      <c r="F18" s="9" t="str">
        <f t="shared" ca="1" si="9"/>
        <v>TYPO IN ERROR MESSAGE</v>
      </c>
      <c r="G18" s="9" t="str">
        <f t="shared" si="10"/>
        <v>bug-004</v>
      </c>
      <c r="H18" s="9" t="str">
        <f t="shared" ca="1" si="11"/>
        <v>Typo in error message</v>
      </c>
      <c r="I18" s="9" t="str">
        <f t="shared" si="12"/>
        <v>DEF-004</v>
      </c>
      <c r="J18" s="16" t="str">
        <f t="shared" ca="1" si="13"/>
        <v>BUG-004 | Typo in error message</v>
      </c>
    </row>
    <row r="19" spans="1:10" x14ac:dyDescent="0.3">
      <c r="A19" s="8" t="s">
        <v>42</v>
      </c>
      <c r="B19" s="15" t="str">
        <f ca="1">OFFSET(Dataset!A4, 2, 14)</f>
        <v>Payment gateway timeout</v>
      </c>
      <c r="C19" s="16" t="str">
        <f t="shared" ca="1" si="6"/>
        <v>Payment ga</v>
      </c>
      <c r="D19" s="9" t="str">
        <f t="shared" ca="1" si="7"/>
        <v>imeout</v>
      </c>
      <c r="E19" s="9" t="str">
        <f t="shared" ca="1" si="8"/>
        <v xml:space="preserve">ent </v>
      </c>
      <c r="F19" s="9" t="str">
        <f t="shared" ca="1" si="9"/>
        <v>PAYMENT GATEWAY TIMEOUT</v>
      </c>
      <c r="G19" s="9" t="str">
        <f t="shared" si="10"/>
        <v>bug-005</v>
      </c>
      <c r="H19" s="9" t="str">
        <f t="shared" ca="1" si="11"/>
        <v>Payment gateway timeout</v>
      </c>
      <c r="I19" s="9" t="str">
        <f t="shared" si="12"/>
        <v>DEF-005</v>
      </c>
      <c r="J19" s="16" t="str">
        <f t="shared" ca="1" si="13"/>
        <v>BUG-005 | Payment gateway timeout</v>
      </c>
    </row>
    <row r="20" spans="1:10" x14ac:dyDescent="0.3">
      <c r="A20" s="9" t="s">
        <v>46</v>
      </c>
      <c r="B20" s="15" t="str">
        <f ca="1">OFFSET(Dataset!A5, 2, 14)</f>
        <v>Search returns wrong results</v>
      </c>
      <c r="C20" s="16" t="str">
        <f t="shared" ca="1" si="6"/>
        <v>Search ret</v>
      </c>
      <c r="D20" s="9" t="str">
        <f t="shared" ca="1" si="7"/>
        <v>esults</v>
      </c>
      <c r="E20" s="9" t="str">
        <f t="shared" ca="1" si="8"/>
        <v>ch r</v>
      </c>
      <c r="F20" s="9" t="str">
        <f t="shared" ca="1" si="9"/>
        <v>SEARCH RETURNS WRONG RESULTS</v>
      </c>
      <c r="G20" s="9" t="str">
        <f t="shared" si="10"/>
        <v>bug-006</v>
      </c>
      <c r="H20" s="9" t="str">
        <f t="shared" ca="1" si="11"/>
        <v>Search returns wrong results</v>
      </c>
      <c r="I20" s="9" t="str">
        <f t="shared" si="12"/>
        <v>DEF-006</v>
      </c>
      <c r="J20" s="16" t="str">
        <f t="shared" ca="1" si="13"/>
        <v>BUG-006 | Search returns wrong results</v>
      </c>
    </row>
    <row r="21" spans="1:10" x14ac:dyDescent="0.3">
      <c r="A21" s="8" t="s">
        <v>51</v>
      </c>
      <c r="B21" s="15" t="str">
        <f ca="1">OFFSET(Dataset!A6, 2, 14)</f>
        <v>Report pagination broken</v>
      </c>
      <c r="C21" s="16" t="str">
        <f t="shared" ca="1" si="6"/>
        <v>Report pag</v>
      </c>
      <c r="D21" s="9" t="str">
        <f t="shared" ca="1" si="7"/>
        <v>broken</v>
      </c>
      <c r="E21" s="9" t="str">
        <f t="shared" ca="1" si="8"/>
        <v>rt p</v>
      </c>
      <c r="F21" s="9" t="str">
        <f t="shared" ca="1" si="9"/>
        <v>REPORT PAGINATION BROKEN</v>
      </c>
      <c r="G21" s="9" t="str">
        <f t="shared" si="10"/>
        <v>bug-007</v>
      </c>
      <c r="H21" s="9" t="str">
        <f t="shared" ca="1" si="11"/>
        <v>Report pagination broken</v>
      </c>
      <c r="I21" s="9" t="str">
        <f t="shared" si="12"/>
        <v>DEF-007</v>
      </c>
      <c r="J21" s="16" t="str">
        <f t="shared" ca="1" si="13"/>
        <v>BUG-007 | Report pagination broken</v>
      </c>
    </row>
    <row r="22" spans="1:10" x14ac:dyDescent="0.3">
      <c r="A22" s="9" t="s">
        <v>53</v>
      </c>
      <c r="B22" s="15" t="str">
        <f ca="1">OFFSET(Dataset!A7, 2, 14)</f>
        <v>Password field asterisks missing</v>
      </c>
      <c r="C22" s="16" t="str">
        <f t="shared" ca="1" si="6"/>
        <v>Password f</v>
      </c>
      <c r="D22" s="9" t="str">
        <f t="shared" ca="1" si="7"/>
        <v>issing</v>
      </c>
      <c r="E22" s="9" t="str">
        <f t="shared" ca="1" si="8"/>
        <v>word</v>
      </c>
      <c r="F22" s="9" t="str">
        <f t="shared" ca="1" si="9"/>
        <v>PASSWORD FIELD ASTERISKS MISSING</v>
      </c>
      <c r="G22" s="9" t="str">
        <f t="shared" si="10"/>
        <v>bug-008</v>
      </c>
      <c r="H22" s="9" t="str">
        <f t="shared" ca="1" si="11"/>
        <v>Password field asterisks missing</v>
      </c>
      <c r="I22" s="9" t="str">
        <f t="shared" si="12"/>
        <v>DEF-008</v>
      </c>
      <c r="J22" s="16" t="str">
        <f t="shared" ca="1" si="13"/>
        <v>BUG-008 | Password field asterisks missing</v>
      </c>
    </row>
    <row r="23" spans="1:10" x14ac:dyDescent="0.3">
      <c r="A23" s="8" t="s">
        <v>55</v>
      </c>
      <c r="B23" s="15" t="str">
        <f ca="1">OFFSET(Dataset!A8, 2, 14)</f>
        <v>Crash on dashboard open</v>
      </c>
      <c r="C23" s="16" t="str">
        <f t="shared" ca="1" si="6"/>
        <v>Crash on d</v>
      </c>
      <c r="D23" s="9" t="str">
        <f t="shared" ca="1" si="7"/>
        <v>d open</v>
      </c>
      <c r="E23" s="9" t="str">
        <f t="shared" ca="1" si="8"/>
        <v>h on</v>
      </c>
      <c r="F23" s="9" t="str">
        <f t="shared" ca="1" si="9"/>
        <v>CRASH ON DASHBOARD OPEN</v>
      </c>
      <c r="G23" s="9" t="str">
        <f t="shared" si="10"/>
        <v>bug-009</v>
      </c>
      <c r="H23" s="9" t="str">
        <f t="shared" ca="1" si="11"/>
        <v>Crash on dashboard open</v>
      </c>
      <c r="I23" s="9" t="str">
        <f t="shared" si="12"/>
        <v>DEF-009</v>
      </c>
      <c r="J23" s="16" t="str">
        <f t="shared" ca="1" si="13"/>
        <v>BUG-009 | Crash on dashboard open</v>
      </c>
    </row>
    <row r="24" spans="1:10" x14ac:dyDescent="0.3">
      <c r="A24" s="9" t="s">
        <v>57</v>
      </c>
      <c r="B24" s="15" t="str">
        <f ca="1">OFFSET(Dataset!A9, 2, 14)</f>
        <v>Double charge on retry</v>
      </c>
      <c r="C24" s="16" t="str">
        <f t="shared" ca="1" si="6"/>
        <v>Double cha</v>
      </c>
      <c r="D24" s="9" t="str">
        <f t="shared" ca="1" si="7"/>
        <v xml:space="preserve"> retry</v>
      </c>
      <c r="E24" s="9" t="str">
        <f t="shared" ca="1" si="8"/>
        <v>le c</v>
      </c>
      <c r="F24" s="9" t="str">
        <f t="shared" ca="1" si="9"/>
        <v>DOUBLE CHARGE ON RETRY</v>
      </c>
      <c r="G24" s="9" t="str">
        <f t="shared" si="10"/>
        <v>bug-010</v>
      </c>
      <c r="H24" s="9" t="str">
        <f t="shared" ca="1" si="11"/>
        <v>Double charge on retry</v>
      </c>
      <c r="I24" s="9" t="str">
        <f t="shared" si="12"/>
        <v>DEF-010</v>
      </c>
      <c r="J24" s="16" t="str">
        <f t="shared" ca="1" si="13"/>
        <v>BUG-010 | Double charge on retry</v>
      </c>
    </row>
    <row r="25" spans="1:10" x14ac:dyDescent="0.3">
      <c r="A25" s="8" t="s">
        <v>59</v>
      </c>
      <c r="B25" s="15" t="str">
        <f ca="1">OFFSET(Dataset!A10, 2, 14)</f>
        <v>SSO redirect broken</v>
      </c>
      <c r="C25" s="16" t="str">
        <f t="shared" ca="1" si="6"/>
        <v>SSO redire</v>
      </c>
      <c r="D25" s="9" t="str">
        <f t="shared" ca="1" si="7"/>
        <v>broken</v>
      </c>
      <c r="E25" s="9" t="str">
        <f t="shared" ca="1" si="8"/>
        <v>redi</v>
      </c>
      <c r="F25" s="9" t="str">
        <f t="shared" ca="1" si="9"/>
        <v>SSO REDIRECT BROKEN</v>
      </c>
      <c r="G25" s="9" t="str">
        <f t="shared" si="10"/>
        <v>bug-011</v>
      </c>
      <c r="H25" s="9" t="str">
        <f t="shared" ca="1" si="11"/>
        <v>SSO redirect broken</v>
      </c>
      <c r="I25" s="9" t="str">
        <f t="shared" si="12"/>
        <v>DEF-011</v>
      </c>
      <c r="J25" s="16" t="str">
        <f t="shared" ca="1" si="13"/>
        <v>BUG-011 | SSO redirect broken</v>
      </c>
    </row>
  </sheetData>
  <mergeCells count="2">
    <mergeCell ref="A1:I1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zoomScaleNormal="100" workbookViewId="0">
      <selection activeCell="G3" sqref="G3"/>
    </sheetView>
  </sheetViews>
  <sheetFormatPr defaultColWidth="8.6640625" defaultRowHeight="14.4" x14ac:dyDescent="0.3"/>
  <cols>
    <col min="1" max="8" width="20" customWidth="1"/>
  </cols>
  <sheetData>
    <row r="1" spans="1:8" ht="15.6" x14ac:dyDescent="0.3">
      <c r="A1" s="31" t="s">
        <v>116</v>
      </c>
      <c r="B1" s="31"/>
      <c r="C1" s="31"/>
      <c r="D1" s="31"/>
      <c r="E1" s="31"/>
      <c r="F1" s="31"/>
      <c r="G1" s="31"/>
      <c r="H1" s="31"/>
    </row>
    <row r="2" spans="1:8" x14ac:dyDescent="0.3">
      <c r="A2" s="1" t="s">
        <v>0</v>
      </c>
      <c r="B2" s="1" t="s">
        <v>117</v>
      </c>
      <c r="C2" s="1" t="s">
        <v>118</v>
      </c>
      <c r="D2" s="1" t="s">
        <v>119</v>
      </c>
      <c r="E2" s="1" t="s">
        <v>120</v>
      </c>
      <c r="F2" s="1" t="s">
        <v>12</v>
      </c>
      <c r="G2" s="1" t="s">
        <v>121</v>
      </c>
      <c r="H2" s="1" t="s">
        <v>122</v>
      </c>
    </row>
    <row r="3" spans="1:8" x14ac:dyDescent="0.3">
      <c r="A3" s="9" t="s">
        <v>25</v>
      </c>
      <c r="B3" s="17" t="s">
        <v>18</v>
      </c>
      <c r="C3" s="17" t="s">
        <v>39</v>
      </c>
      <c r="D3" s="17" t="s">
        <v>34</v>
      </c>
      <c r="E3" s="17">
        <v>20</v>
      </c>
      <c r="F3" s="17" t="str">
        <f>IF(C3="Resolved","Pass","Fail")</f>
        <v>Fail</v>
      </c>
      <c r="G3" s="9"/>
      <c r="H3" s="9"/>
    </row>
    <row r="4" spans="1:8" x14ac:dyDescent="0.3">
      <c r="A4" s="8" t="s">
        <v>31</v>
      </c>
      <c r="B4" s="17" t="s">
        <v>18</v>
      </c>
      <c r="C4" s="17" t="s">
        <v>27</v>
      </c>
      <c r="D4" s="17" t="s">
        <v>34</v>
      </c>
      <c r="E4" s="17">
        <v>1</v>
      </c>
      <c r="F4" s="17" t="str">
        <f t="shared" ref="F4:F22" si="0">IF(C4="Resolved","Pass","Fail")</f>
        <v>Pass</v>
      </c>
      <c r="G4" s="8"/>
      <c r="H4" s="8"/>
    </row>
    <row r="5" spans="1:8" x14ac:dyDescent="0.3">
      <c r="A5" s="9" t="s">
        <v>37</v>
      </c>
      <c r="B5" s="17" t="s">
        <v>18</v>
      </c>
      <c r="C5" s="17" t="s">
        <v>188</v>
      </c>
      <c r="D5" s="17" t="s">
        <v>34</v>
      </c>
      <c r="E5" s="17">
        <v>20</v>
      </c>
      <c r="F5" s="17" t="str">
        <f t="shared" si="0"/>
        <v>Fail</v>
      </c>
      <c r="G5" s="9"/>
      <c r="H5" s="9"/>
    </row>
    <row r="6" spans="1:8" x14ac:dyDescent="0.3">
      <c r="A6" s="8" t="s">
        <v>42</v>
      </c>
      <c r="B6" s="17" t="s">
        <v>18</v>
      </c>
      <c r="C6" s="17" t="s">
        <v>39</v>
      </c>
      <c r="D6" s="17" t="s">
        <v>34</v>
      </c>
      <c r="E6" s="17">
        <v>20</v>
      </c>
      <c r="F6" s="17" t="str">
        <f t="shared" si="0"/>
        <v>Fail</v>
      </c>
      <c r="G6" s="8"/>
      <c r="H6" s="8"/>
    </row>
    <row r="7" spans="1:8" x14ac:dyDescent="0.3">
      <c r="A7" s="9" t="s">
        <v>46</v>
      </c>
      <c r="B7" s="17" t="s">
        <v>18</v>
      </c>
      <c r="C7" s="17" t="s">
        <v>39</v>
      </c>
      <c r="D7" s="17" t="s">
        <v>34</v>
      </c>
      <c r="E7" s="17">
        <v>20</v>
      </c>
      <c r="F7" s="17" t="str">
        <f t="shared" si="0"/>
        <v>Fail</v>
      </c>
      <c r="G7" s="9"/>
      <c r="H7" s="9"/>
    </row>
    <row r="8" spans="1:8" x14ac:dyDescent="0.3">
      <c r="A8" s="8" t="s">
        <v>51</v>
      </c>
      <c r="B8" s="17" t="s">
        <v>18</v>
      </c>
      <c r="C8" s="17" t="s">
        <v>39</v>
      </c>
      <c r="D8" s="17" t="s">
        <v>34</v>
      </c>
      <c r="E8" s="17">
        <v>20</v>
      </c>
      <c r="F8" s="17" t="str">
        <f t="shared" si="0"/>
        <v>Fail</v>
      </c>
      <c r="G8" s="8"/>
      <c r="H8" s="8"/>
    </row>
    <row r="9" spans="1:8" x14ac:dyDescent="0.3">
      <c r="A9" s="9" t="s">
        <v>53</v>
      </c>
      <c r="B9" s="17" t="s">
        <v>18</v>
      </c>
      <c r="C9" s="17" t="s">
        <v>39</v>
      </c>
      <c r="D9" s="17" t="s">
        <v>34</v>
      </c>
      <c r="E9" s="17">
        <v>20</v>
      </c>
      <c r="F9" s="17" t="str">
        <f t="shared" si="0"/>
        <v>Fail</v>
      </c>
      <c r="G9" s="9"/>
      <c r="H9" s="9"/>
    </row>
    <row r="10" spans="1:8" x14ac:dyDescent="0.3">
      <c r="A10" s="8" t="s">
        <v>55</v>
      </c>
      <c r="B10" s="17" t="s">
        <v>18</v>
      </c>
      <c r="C10" s="17" t="s">
        <v>39</v>
      </c>
      <c r="D10" s="17" t="s">
        <v>34</v>
      </c>
      <c r="E10" s="17">
        <v>20</v>
      </c>
      <c r="F10" s="17" t="str">
        <f t="shared" si="0"/>
        <v>Fail</v>
      </c>
      <c r="G10" s="8"/>
      <c r="H10" s="8"/>
    </row>
    <row r="11" spans="1:8" x14ac:dyDescent="0.3">
      <c r="A11" s="9" t="s">
        <v>57</v>
      </c>
      <c r="B11" s="17" t="s">
        <v>18</v>
      </c>
      <c r="C11" s="17" t="s">
        <v>39</v>
      </c>
      <c r="D11" s="17" t="s">
        <v>34</v>
      </c>
      <c r="E11" s="17">
        <v>20</v>
      </c>
      <c r="F11" s="17" t="str">
        <f t="shared" si="0"/>
        <v>Fail</v>
      </c>
      <c r="G11" s="9"/>
      <c r="H11" s="9"/>
    </row>
    <row r="12" spans="1:8" x14ac:dyDescent="0.3">
      <c r="A12" s="8" t="s">
        <v>59</v>
      </c>
      <c r="B12" s="17" t="s">
        <v>18</v>
      </c>
      <c r="C12" s="17" t="s">
        <v>39</v>
      </c>
      <c r="D12" s="17" t="s">
        <v>34</v>
      </c>
      <c r="E12" s="17">
        <v>20</v>
      </c>
      <c r="F12" s="17" t="str">
        <f t="shared" si="0"/>
        <v>Fail</v>
      </c>
      <c r="G12" s="8"/>
      <c r="H12" s="8"/>
    </row>
    <row r="13" spans="1:8" x14ac:dyDescent="0.3">
      <c r="A13" s="9" t="s">
        <v>61</v>
      </c>
      <c r="B13" s="17" t="s">
        <v>18</v>
      </c>
      <c r="C13" s="17" t="s">
        <v>39</v>
      </c>
      <c r="D13" s="17" t="s">
        <v>34</v>
      </c>
      <c r="E13" s="17">
        <v>10</v>
      </c>
      <c r="F13" s="17" t="str">
        <f t="shared" si="0"/>
        <v>Fail</v>
      </c>
      <c r="G13" s="9"/>
      <c r="H13" s="9"/>
    </row>
    <row r="14" spans="1:8" x14ac:dyDescent="0.3">
      <c r="A14" s="8" t="s">
        <v>63</v>
      </c>
      <c r="B14" s="17" t="s">
        <v>18</v>
      </c>
      <c r="C14" s="17" t="s">
        <v>39</v>
      </c>
      <c r="D14" s="17" t="s">
        <v>34</v>
      </c>
      <c r="E14" s="17">
        <v>20</v>
      </c>
      <c r="F14" s="17" t="str">
        <f t="shared" si="0"/>
        <v>Fail</v>
      </c>
      <c r="G14" s="8"/>
      <c r="H14" s="8"/>
    </row>
    <row r="15" spans="1:8" x14ac:dyDescent="0.3">
      <c r="A15" s="9" t="s">
        <v>65</v>
      </c>
      <c r="B15" s="17" t="s">
        <v>18</v>
      </c>
      <c r="C15" s="17" t="s">
        <v>39</v>
      </c>
      <c r="D15" s="17" t="s">
        <v>34</v>
      </c>
      <c r="E15" s="17">
        <v>20</v>
      </c>
      <c r="F15" s="17" t="str">
        <f t="shared" si="0"/>
        <v>Fail</v>
      </c>
      <c r="G15" s="9"/>
      <c r="H15" s="9"/>
    </row>
    <row r="16" spans="1:8" x14ac:dyDescent="0.3">
      <c r="A16" s="8" t="s">
        <v>67</v>
      </c>
      <c r="B16" s="17" t="s">
        <v>18</v>
      </c>
      <c r="C16" s="17" t="s">
        <v>39</v>
      </c>
      <c r="D16" s="17" t="s">
        <v>34</v>
      </c>
      <c r="E16" s="17">
        <v>20</v>
      </c>
      <c r="F16" s="17" t="str">
        <f t="shared" si="0"/>
        <v>Fail</v>
      </c>
      <c r="G16" s="8"/>
      <c r="H16" s="8"/>
    </row>
    <row r="17" spans="1:8" x14ac:dyDescent="0.3">
      <c r="A17" s="9" t="s">
        <v>69</v>
      </c>
      <c r="B17" s="17" t="s">
        <v>18</v>
      </c>
      <c r="C17" s="17" t="s">
        <v>39</v>
      </c>
      <c r="D17" s="17" t="s">
        <v>34</v>
      </c>
      <c r="E17" s="17">
        <v>20</v>
      </c>
      <c r="F17" s="17" t="str">
        <f t="shared" si="0"/>
        <v>Fail</v>
      </c>
      <c r="G17" s="9"/>
      <c r="H17" s="9"/>
    </row>
    <row r="18" spans="1:8" x14ac:dyDescent="0.3">
      <c r="A18" s="8" t="s">
        <v>71</v>
      </c>
      <c r="B18" s="17" t="s">
        <v>18</v>
      </c>
      <c r="C18" s="17" t="s">
        <v>39</v>
      </c>
      <c r="D18" s="17" t="s">
        <v>34</v>
      </c>
      <c r="E18" s="17">
        <v>20</v>
      </c>
      <c r="F18" s="17" t="str">
        <f t="shared" si="0"/>
        <v>Fail</v>
      </c>
      <c r="G18" s="8"/>
      <c r="H18" s="8"/>
    </row>
    <row r="19" spans="1:8" x14ac:dyDescent="0.3">
      <c r="A19" s="9" t="s">
        <v>73</v>
      </c>
      <c r="B19" s="17" t="s">
        <v>18</v>
      </c>
      <c r="C19" s="17" t="s">
        <v>39</v>
      </c>
      <c r="D19" s="17" t="s">
        <v>34</v>
      </c>
      <c r="E19" s="17">
        <v>20</v>
      </c>
      <c r="F19" s="17" t="str">
        <f t="shared" si="0"/>
        <v>Fail</v>
      </c>
      <c r="G19" s="9"/>
      <c r="H19" s="9"/>
    </row>
    <row r="20" spans="1:8" x14ac:dyDescent="0.3">
      <c r="A20" s="8" t="s">
        <v>75</v>
      </c>
      <c r="B20" s="17" t="s">
        <v>18</v>
      </c>
      <c r="C20" s="17" t="s">
        <v>39</v>
      </c>
      <c r="D20" s="17" t="s">
        <v>34</v>
      </c>
      <c r="E20" s="17">
        <v>20</v>
      </c>
      <c r="F20" s="17" t="str">
        <f t="shared" si="0"/>
        <v>Fail</v>
      </c>
      <c r="G20" s="8"/>
      <c r="H20" s="8"/>
    </row>
    <row r="21" spans="1:8" x14ac:dyDescent="0.3">
      <c r="A21" s="9" t="s">
        <v>77</v>
      </c>
      <c r="B21" s="17" t="s">
        <v>18</v>
      </c>
      <c r="C21" s="17" t="s">
        <v>39</v>
      </c>
      <c r="D21" s="17" t="s">
        <v>34</v>
      </c>
      <c r="E21" s="17">
        <v>20</v>
      </c>
      <c r="F21" s="17" t="str">
        <f t="shared" si="0"/>
        <v>Fail</v>
      </c>
      <c r="G21" s="9"/>
      <c r="H21" s="9"/>
    </row>
    <row r="22" spans="1:8" x14ac:dyDescent="0.3">
      <c r="A22" s="8" t="s">
        <v>77</v>
      </c>
      <c r="B22" s="17" t="s">
        <v>18</v>
      </c>
      <c r="C22" s="17" t="s">
        <v>39</v>
      </c>
      <c r="D22" s="17" t="s">
        <v>34</v>
      </c>
      <c r="E22" s="17">
        <v>20</v>
      </c>
      <c r="F22" s="17" t="str">
        <f t="shared" si="0"/>
        <v>Fail</v>
      </c>
      <c r="G22" s="8"/>
      <c r="H22" s="8"/>
    </row>
  </sheetData>
  <mergeCells count="1">
    <mergeCell ref="A1:H1"/>
  </mergeCells>
  <conditionalFormatting sqref="B3:B22">
    <cfRule type="cellIs" dxfId="7" priority="7" operator="equal">
      <formula>"Critical"</formula>
    </cfRule>
    <cfRule type="cellIs" dxfId="6" priority="8" operator="equal">
      <formula>"High"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16">
    <cfRule type="cellIs" dxfId="5" priority="4" operator="equal">
      <formula>"Green"</formula>
    </cfRule>
    <cfRule type="cellIs" dxfId="4" priority="5" operator="equal">
      <formula>"Red"</formula>
    </cfRule>
  </conditionalFormatting>
  <conditionalFormatting sqref="E3:E22">
    <cfRule type="colorScale" priority="2">
      <colorScale>
        <cfvo type="min"/>
        <cfvo type="max"/>
        <color rgb="FF00B050"/>
        <color rgb="FFC00000"/>
      </colorScale>
    </cfRule>
  </conditionalFormatting>
  <conditionalFormatting sqref="G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4">
    <dataValidation type="list" allowBlank="1" showInputMessage="1" showErrorMessage="1" sqref="B3:B22" xr:uid="{BDD93A6C-A005-4C56-B743-5132996B7A14}">
      <formula1>"Critical, High, Medium, Low"</formula1>
    </dataValidation>
    <dataValidation type="list" allowBlank="1" showInputMessage="1" showErrorMessage="1" sqref="C3:C22" xr:uid="{77436CC4-DFFF-4306-8FFB-2BAF0E91CD7A}">
      <formula1>"Open, Closed, Resolved, In Progress"</formula1>
    </dataValidation>
    <dataValidation type="list" allowBlank="1" showInputMessage="1" showErrorMessage="1" sqref="D3:D22" xr:uid="{9CC4AD4C-1B1D-4EE3-9103-BF44C6DA1262}">
      <formula1>"High, Medium, Low"</formula1>
    </dataValidation>
    <dataValidation type="whole" allowBlank="1" showInputMessage="1" showErrorMessage="1" sqref="E3:E22" xr:uid="{97A54C75-32D7-4792-A125-00407A50FBA5}">
      <formula1>1</formula1>
      <formula2>20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"/>
  <sheetViews>
    <sheetView topLeftCell="A6" zoomScaleNormal="100" workbookViewId="0">
      <selection activeCell="B17" sqref="B17"/>
    </sheetView>
  </sheetViews>
  <sheetFormatPr defaultColWidth="8.6640625" defaultRowHeight="14.4" x14ac:dyDescent="0.3"/>
  <cols>
    <col min="1" max="1" width="35.77734375" customWidth="1"/>
    <col min="2" max="7" width="14" customWidth="1"/>
  </cols>
  <sheetData>
    <row r="1" spans="1:10" ht="15.6" x14ac:dyDescent="0.3">
      <c r="A1" s="31" t="s">
        <v>123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3">
      <c r="A2" s="33" t="s">
        <v>124</v>
      </c>
      <c r="B2" s="33"/>
      <c r="C2" s="33"/>
    </row>
    <row r="3" spans="1:10" x14ac:dyDescent="0.3">
      <c r="A3" s="1" t="s">
        <v>3</v>
      </c>
      <c r="B3" s="1" t="s">
        <v>5</v>
      </c>
      <c r="C3" s="1" t="s">
        <v>4</v>
      </c>
    </row>
    <row r="4" spans="1:10" x14ac:dyDescent="0.3">
      <c r="A4" s="18" t="s">
        <v>18</v>
      </c>
      <c r="B4" s="18" t="s">
        <v>20</v>
      </c>
      <c r="C4" t="s">
        <v>19</v>
      </c>
    </row>
    <row r="5" spans="1:10" x14ac:dyDescent="0.3">
      <c r="A5" s="18" t="s">
        <v>19</v>
      </c>
      <c r="B5" s="18" t="s">
        <v>20</v>
      </c>
      <c r="C5" t="s">
        <v>34</v>
      </c>
    </row>
    <row r="7" spans="1:10" x14ac:dyDescent="0.3">
      <c r="A7" s="32" t="s">
        <v>125</v>
      </c>
      <c r="B7" s="32"/>
      <c r="C7" s="32"/>
      <c r="D7" s="32"/>
      <c r="E7" s="32"/>
      <c r="F7" s="32"/>
      <c r="G7" s="32"/>
      <c r="H7" s="32"/>
      <c r="I7" s="32"/>
      <c r="J7" s="32"/>
    </row>
    <row r="8" spans="1:10" x14ac:dyDescent="0.3">
      <c r="A8" s="19" t="s">
        <v>126</v>
      </c>
      <c r="B8" s="20" cm="1">
        <f t="array" ref="B8">SUMPRODUCT((Dataset!F2:F21="Open")*1)</f>
        <v>8</v>
      </c>
    </row>
    <row r="9" spans="1:10" x14ac:dyDescent="0.3">
      <c r="A9" s="21" t="s">
        <v>127</v>
      </c>
      <c r="B9" s="22" cm="1">
        <f t="array" ref="B9">SUMPRODUCT((Dataset!D2:D21="Critical")*1,(Dataset!K2:K21))</f>
        <v>42</v>
      </c>
    </row>
    <row r="10" spans="1:10" x14ac:dyDescent="0.3">
      <c r="A10" s="19" t="s">
        <v>128</v>
      </c>
      <c r="B10" s="20" cm="1">
        <f t="array" ref="B10">SUMPRODUCT((Dataset!G2:G21="Alice")*1,(Dataset!L2:L21))</f>
        <v>6</v>
      </c>
    </row>
    <row r="11" spans="1:10" x14ac:dyDescent="0.3">
      <c r="A11" s="21" t="s">
        <v>129</v>
      </c>
      <c r="B11" s="22">
        <f>FLOOR(AVERAGE(E21:E30),2)</f>
        <v>6</v>
      </c>
    </row>
    <row r="12" spans="1:10" x14ac:dyDescent="0.3">
      <c r="A12" s="19" t="s">
        <v>130</v>
      </c>
      <c r="B12" s="20">
        <f>CEILING(AVERAGE(E21:E30),5)</f>
        <v>10</v>
      </c>
    </row>
    <row r="13" spans="1:10" x14ac:dyDescent="0.3">
      <c r="A13" s="21" t="s">
        <v>131</v>
      </c>
      <c r="B13" s="22">
        <f>MROUND(AVERAGE(E21:E30),3)</f>
        <v>6</v>
      </c>
    </row>
    <row r="14" spans="1:10" x14ac:dyDescent="0.3">
      <c r="A14" s="19" t="s">
        <v>132</v>
      </c>
      <c r="B14" s="20">
        <f>MOD(COUNTA(Dataset!A2:A21),3)</f>
        <v>2</v>
      </c>
    </row>
    <row r="15" spans="1:10" x14ac:dyDescent="0.3">
      <c r="A15" s="21" t="s">
        <v>133</v>
      </c>
      <c r="B15" s="22">
        <f>QUOTIENT(SUM(Dataset!K2:K21),COUNTA(Dataset!A2:A21))</f>
        <v>4</v>
      </c>
    </row>
    <row r="16" spans="1:10" x14ac:dyDescent="0.3">
      <c r="A16" s="19" t="s">
        <v>134</v>
      </c>
      <c r="B16" s="20" cm="1">
        <f t="array" ref="B16">SUMPRODUCT((Dataset!B2:B21="Beta")*1)</f>
        <v>7</v>
      </c>
    </row>
    <row r="19" spans="1:11" x14ac:dyDescent="0.3">
      <c r="A19" s="27" t="s">
        <v>135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x14ac:dyDescent="0.3">
      <c r="A20" s="1" t="s">
        <v>136</v>
      </c>
      <c r="B20" s="1" t="s">
        <v>0</v>
      </c>
      <c r="C20" s="1" t="s">
        <v>1</v>
      </c>
      <c r="D20" s="1" t="s">
        <v>3</v>
      </c>
      <c r="E20" s="1" t="s">
        <v>137</v>
      </c>
      <c r="F20" s="1" t="s">
        <v>5</v>
      </c>
      <c r="G20" s="1" t="s">
        <v>138</v>
      </c>
    </row>
    <row r="21" spans="1:11" x14ac:dyDescent="0.3">
      <c r="A21" s="5">
        <v>1</v>
      </c>
      <c r="B21" s="5" t="s">
        <v>42</v>
      </c>
      <c r="C21" s="5" t="s">
        <v>16</v>
      </c>
      <c r="D21" s="5" t="s">
        <v>18</v>
      </c>
      <c r="E21" s="5">
        <v>10</v>
      </c>
      <c r="F21" s="5" t="s">
        <v>27</v>
      </c>
      <c r="G21" s="5" t="s">
        <v>29</v>
      </c>
    </row>
    <row r="22" spans="1:11" x14ac:dyDescent="0.3">
      <c r="A22" s="2">
        <v>2</v>
      </c>
      <c r="B22" s="2" t="s">
        <v>63</v>
      </c>
      <c r="C22" s="2" t="s">
        <v>32</v>
      </c>
      <c r="D22" s="2" t="s">
        <v>18</v>
      </c>
      <c r="E22" s="2">
        <v>9</v>
      </c>
      <c r="F22" s="2" t="s">
        <v>27</v>
      </c>
      <c r="G22" s="2" t="s">
        <v>29</v>
      </c>
    </row>
    <row r="23" spans="1:11" x14ac:dyDescent="0.3">
      <c r="A23" s="5">
        <v>3</v>
      </c>
      <c r="B23" s="5" t="s">
        <v>71</v>
      </c>
      <c r="C23" s="5" t="s">
        <v>47</v>
      </c>
      <c r="D23" s="5" t="s">
        <v>18</v>
      </c>
      <c r="E23" s="5">
        <v>8</v>
      </c>
      <c r="F23" s="5" t="s">
        <v>20</v>
      </c>
      <c r="G23" s="5" t="s">
        <v>22</v>
      </c>
    </row>
    <row r="24" spans="1:11" x14ac:dyDescent="0.3">
      <c r="A24" s="2">
        <v>4</v>
      </c>
      <c r="B24" s="2" t="s">
        <v>15</v>
      </c>
      <c r="C24" s="2" t="s">
        <v>16</v>
      </c>
      <c r="D24" s="2" t="s">
        <v>18</v>
      </c>
      <c r="E24" s="2">
        <v>8</v>
      </c>
      <c r="F24" s="2" t="s">
        <v>20</v>
      </c>
      <c r="G24" s="2" t="s">
        <v>22</v>
      </c>
    </row>
    <row r="25" spans="1:11" x14ac:dyDescent="0.3">
      <c r="A25" s="5">
        <v>5</v>
      </c>
      <c r="B25" s="5" t="s">
        <v>55</v>
      </c>
      <c r="C25" s="5" t="s">
        <v>32</v>
      </c>
      <c r="D25" s="5" t="s">
        <v>18</v>
      </c>
      <c r="E25" s="5">
        <v>7</v>
      </c>
      <c r="F25" s="5" t="s">
        <v>20</v>
      </c>
      <c r="G25" s="5" t="s">
        <v>22</v>
      </c>
    </row>
    <row r="26" spans="1:11" x14ac:dyDescent="0.3">
      <c r="A26" s="2">
        <v>6</v>
      </c>
      <c r="B26" s="2" t="s">
        <v>73</v>
      </c>
      <c r="C26" s="2" t="s">
        <v>16</v>
      </c>
      <c r="D26" s="2" t="s">
        <v>19</v>
      </c>
      <c r="E26" s="2">
        <v>7</v>
      </c>
      <c r="F26" s="2" t="s">
        <v>27</v>
      </c>
      <c r="G26" s="2" t="s">
        <v>29</v>
      </c>
    </row>
    <row r="27" spans="1:11" x14ac:dyDescent="0.3">
      <c r="A27" s="5">
        <v>7</v>
      </c>
      <c r="B27" s="5" t="s">
        <v>57</v>
      </c>
      <c r="C27" s="5" t="s">
        <v>32</v>
      </c>
      <c r="D27" s="5" t="s">
        <v>19</v>
      </c>
      <c r="E27" s="5">
        <v>6</v>
      </c>
      <c r="F27" s="5" t="s">
        <v>27</v>
      </c>
      <c r="G27" s="5" t="s">
        <v>29</v>
      </c>
    </row>
    <row r="28" spans="1:11" x14ac:dyDescent="0.3">
      <c r="A28" s="2">
        <v>8</v>
      </c>
      <c r="B28" s="2" t="s">
        <v>65</v>
      </c>
      <c r="C28" s="2" t="s">
        <v>47</v>
      </c>
      <c r="D28" s="2" t="s">
        <v>19</v>
      </c>
      <c r="E28" s="2">
        <v>5</v>
      </c>
      <c r="F28" s="2" t="s">
        <v>20</v>
      </c>
      <c r="G28" s="2" t="s">
        <v>22</v>
      </c>
    </row>
    <row r="29" spans="1:11" x14ac:dyDescent="0.3">
      <c r="A29" s="5">
        <v>9</v>
      </c>
      <c r="B29" s="5" t="s">
        <v>25</v>
      </c>
      <c r="C29" s="5" t="s">
        <v>16</v>
      </c>
      <c r="D29" s="5" t="s">
        <v>19</v>
      </c>
      <c r="E29" s="5">
        <v>5</v>
      </c>
      <c r="F29" s="5" t="s">
        <v>27</v>
      </c>
      <c r="G29" s="5" t="s">
        <v>29</v>
      </c>
    </row>
    <row r="30" spans="1:11" x14ac:dyDescent="0.3">
      <c r="A30" s="2">
        <v>10</v>
      </c>
      <c r="B30" s="2" t="s">
        <v>46</v>
      </c>
      <c r="C30" s="2" t="s">
        <v>47</v>
      </c>
      <c r="D30" s="2" t="s">
        <v>19</v>
      </c>
      <c r="E30" s="2">
        <v>4</v>
      </c>
      <c r="F30" s="2" t="s">
        <v>20</v>
      </c>
      <c r="G30" s="2" t="s">
        <v>22</v>
      </c>
    </row>
  </sheetData>
  <sortState xmlns:xlrd2="http://schemas.microsoft.com/office/spreadsheetml/2017/richdata2" ref="A21:G30">
    <sortCondition ref="A20:A30"/>
  </sortState>
  <mergeCells count="3">
    <mergeCell ref="A1:J1"/>
    <mergeCell ref="A2:C2"/>
    <mergeCell ref="A7:J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zoomScaleNormal="100" workbookViewId="0">
      <selection activeCell="B24" sqref="B24"/>
    </sheetView>
  </sheetViews>
  <sheetFormatPr defaultColWidth="8.6640625" defaultRowHeight="14.4" outlineLevelRow="2" x14ac:dyDescent="0.3"/>
  <cols>
    <col min="1" max="1" width="40" customWidth="1"/>
    <col min="2" max="2" width="20" customWidth="1"/>
    <col min="3" max="7" width="16" customWidth="1"/>
  </cols>
  <sheetData>
    <row r="1" spans="1:8" ht="15.6" x14ac:dyDescent="0.3">
      <c r="A1" s="31" t="s">
        <v>139</v>
      </c>
      <c r="B1" s="31"/>
      <c r="C1" s="31"/>
      <c r="D1" s="31"/>
      <c r="E1" s="31"/>
      <c r="F1" s="31"/>
      <c r="G1" s="31"/>
      <c r="H1" s="31"/>
    </row>
    <row r="2" spans="1:8" x14ac:dyDescent="0.3">
      <c r="A2" s="1" t="s">
        <v>1</v>
      </c>
      <c r="B2" s="1" t="s">
        <v>2</v>
      </c>
      <c r="C2" s="1" t="s">
        <v>0</v>
      </c>
      <c r="D2" s="1" t="s">
        <v>3</v>
      </c>
      <c r="E2" s="1" t="s">
        <v>137</v>
      </c>
      <c r="F2" s="1" t="s">
        <v>5</v>
      </c>
      <c r="G2" s="1" t="s">
        <v>12</v>
      </c>
    </row>
    <row r="3" spans="1:8" outlineLevel="2" x14ac:dyDescent="0.3">
      <c r="A3" s="9" t="s">
        <v>16</v>
      </c>
      <c r="B3" s="9" t="s">
        <v>17</v>
      </c>
      <c r="C3" s="9" t="s">
        <v>15</v>
      </c>
      <c r="D3" s="9" t="s">
        <v>18</v>
      </c>
      <c r="E3" s="9">
        <v>8</v>
      </c>
      <c r="F3" s="9" t="s">
        <v>20</v>
      </c>
      <c r="G3" s="9" t="s">
        <v>22</v>
      </c>
    </row>
    <row r="4" spans="1:8" outlineLevel="2" x14ac:dyDescent="0.3">
      <c r="A4" s="8" t="s">
        <v>16</v>
      </c>
      <c r="B4" s="8" t="s">
        <v>17</v>
      </c>
      <c r="C4" s="8" t="s">
        <v>53</v>
      </c>
      <c r="D4" s="8" t="s">
        <v>38</v>
      </c>
      <c r="E4" s="8">
        <v>2</v>
      </c>
      <c r="F4" s="8" t="s">
        <v>27</v>
      </c>
      <c r="G4" s="8" t="s">
        <v>29</v>
      </c>
    </row>
    <row r="5" spans="1:8" outlineLevel="2" x14ac:dyDescent="0.3">
      <c r="A5" s="9" t="s">
        <v>16</v>
      </c>
      <c r="B5" s="9" t="s">
        <v>26</v>
      </c>
      <c r="C5" s="9" t="s">
        <v>25</v>
      </c>
      <c r="D5" s="9" t="s">
        <v>19</v>
      </c>
      <c r="E5" s="9">
        <v>5</v>
      </c>
      <c r="F5" s="9" t="s">
        <v>27</v>
      </c>
      <c r="G5" s="9" t="s">
        <v>29</v>
      </c>
    </row>
    <row r="6" spans="1:8" outlineLevel="2" x14ac:dyDescent="0.3">
      <c r="A6" s="8" t="s">
        <v>16</v>
      </c>
      <c r="B6" s="8" t="s">
        <v>43</v>
      </c>
      <c r="C6" s="8" t="s">
        <v>42</v>
      </c>
      <c r="D6" s="8" t="s">
        <v>18</v>
      </c>
      <c r="E6" s="8">
        <v>10</v>
      </c>
      <c r="F6" s="8" t="s">
        <v>27</v>
      </c>
      <c r="G6" s="8" t="s">
        <v>29</v>
      </c>
    </row>
    <row r="7" spans="1:8" outlineLevel="2" x14ac:dyDescent="0.3">
      <c r="A7" s="9" t="s">
        <v>16</v>
      </c>
      <c r="B7" s="9" t="s">
        <v>43</v>
      </c>
      <c r="C7" s="9" t="s">
        <v>73</v>
      </c>
      <c r="D7" s="9" t="s">
        <v>19</v>
      </c>
      <c r="E7" s="9">
        <v>7</v>
      </c>
      <c r="F7" s="9" t="s">
        <v>27</v>
      </c>
      <c r="G7" s="9" t="s">
        <v>29</v>
      </c>
    </row>
    <row r="8" spans="1:8" outlineLevel="1" x14ac:dyDescent="0.3">
      <c r="A8" s="8"/>
      <c r="B8" s="8"/>
      <c r="C8" s="8" t="s">
        <v>140</v>
      </c>
      <c r="D8" s="8"/>
      <c r="E8" s="8">
        <f>SUM(E3:E7)</f>
        <v>32</v>
      </c>
      <c r="F8" s="8"/>
      <c r="G8" s="8"/>
    </row>
    <row r="9" spans="1:8" outlineLevel="2" x14ac:dyDescent="0.3">
      <c r="A9" s="9" t="s">
        <v>32</v>
      </c>
      <c r="B9" s="9" t="s">
        <v>17</v>
      </c>
      <c r="C9" s="9" t="s">
        <v>37</v>
      </c>
      <c r="D9" s="9" t="s">
        <v>38</v>
      </c>
      <c r="E9" s="9">
        <v>2</v>
      </c>
      <c r="F9" s="9" t="s">
        <v>39</v>
      </c>
      <c r="G9" s="9" t="s">
        <v>29</v>
      </c>
    </row>
    <row r="10" spans="1:8" outlineLevel="2" x14ac:dyDescent="0.3">
      <c r="A10" s="8" t="s">
        <v>32</v>
      </c>
      <c r="B10" s="8" t="s">
        <v>17</v>
      </c>
      <c r="C10" s="8" t="s">
        <v>69</v>
      </c>
      <c r="D10" s="8" t="s">
        <v>38</v>
      </c>
      <c r="E10" s="8">
        <v>2</v>
      </c>
      <c r="F10" s="8" t="s">
        <v>27</v>
      </c>
      <c r="G10" s="8" t="s">
        <v>29</v>
      </c>
    </row>
    <row r="11" spans="1:8" outlineLevel="2" x14ac:dyDescent="0.3">
      <c r="A11" s="9" t="s">
        <v>32</v>
      </c>
      <c r="B11" s="9" t="s">
        <v>26</v>
      </c>
      <c r="C11" s="9" t="s">
        <v>55</v>
      </c>
      <c r="D11" s="9" t="s">
        <v>18</v>
      </c>
      <c r="E11" s="9">
        <v>7</v>
      </c>
      <c r="F11" s="9" t="s">
        <v>20</v>
      </c>
      <c r="G11" s="9" t="s">
        <v>22</v>
      </c>
    </row>
    <row r="12" spans="1:8" outlineLevel="2" x14ac:dyDescent="0.3">
      <c r="A12" s="8" t="s">
        <v>32</v>
      </c>
      <c r="B12" s="8" t="s">
        <v>43</v>
      </c>
      <c r="C12" s="8" t="s">
        <v>57</v>
      </c>
      <c r="D12" s="8" t="s">
        <v>19</v>
      </c>
      <c r="E12" s="8">
        <v>6</v>
      </c>
      <c r="F12" s="8" t="s">
        <v>27</v>
      </c>
      <c r="G12" s="8" t="s">
        <v>29</v>
      </c>
    </row>
    <row r="13" spans="1:8" outlineLevel="1" x14ac:dyDescent="0.3">
      <c r="A13" s="9"/>
      <c r="B13" s="9"/>
      <c r="C13" s="9" t="s">
        <v>141</v>
      </c>
      <c r="D13" s="9"/>
      <c r="E13" s="9">
        <f>SUM(E9:E12)</f>
        <v>17</v>
      </c>
      <c r="F13" s="9"/>
      <c r="G13" s="9"/>
    </row>
    <row r="14" spans="1:8" outlineLevel="2" x14ac:dyDescent="0.3">
      <c r="A14" s="8" t="s">
        <v>47</v>
      </c>
      <c r="B14" s="8" t="s">
        <v>48</v>
      </c>
      <c r="C14" s="8" t="s">
        <v>46</v>
      </c>
      <c r="D14" s="8" t="s">
        <v>19</v>
      </c>
      <c r="E14" s="8">
        <v>4</v>
      </c>
      <c r="F14" s="8" t="s">
        <v>20</v>
      </c>
      <c r="G14" s="8" t="s">
        <v>22</v>
      </c>
    </row>
    <row r="15" spans="1:8" outlineLevel="2" x14ac:dyDescent="0.3">
      <c r="A15" s="9" t="s">
        <v>47</v>
      </c>
      <c r="B15" s="9" t="s">
        <v>26</v>
      </c>
      <c r="C15" s="9" t="s">
        <v>71</v>
      </c>
      <c r="D15" s="9" t="s">
        <v>18</v>
      </c>
      <c r="E15" s="9">
        <v>8</v>
      </c>
      <c r="F15" s="9" t="s">
        <v>20</v>
      </c>
      <c r="G15" s="9" t="s">
        <v>22</v>
      </c>
    </row>
    <row r="16" spans="1:8" outlineLevel="2" x14ac:dyDescent="0.3">
      <c r="A16" s="8" t="s">
        <v>47</v>
      </c>
      <c r="B16" s="8" t="s">
        <v>43</v>
      </c>
      <c r="C16" s="8" t="s">
        <v>65</v>
      </c>
      <c r="D16" s="8" t="s">
        <v>19</v>
      </c>
      <c r="E16" s="8">
        <v>5</v>
      </c>
      <c r="F16" s="8" t="s">
        <v>20</v>
      </c>
      <c r="G16" s="8" t="s">
        <v>22</v>
      </c>
    </row>
    <row r="17" spans="1:8" outlineLevel="1" x14ac:dyDescent="0.3">
      <c r="A17" s="9"/>
      <c r="B17" s="9"/>
      <c r="C17" s="9" t="s">
        <v>142</v>
      </c>
      <c r="D17" s="9"/>
      <c r="E17" s="9">
        <f>SUM(E14:E16)</f>
        <v>17</v>
      </c>
      <c r="F17" s="9"/>
      <c r="G17" s="9"/>
    </row>
    <row r="18" spans="1:8" x14ac:dyDescent="0.3">
      <c r="A18" s="8"/>
      <c r="B18" s="8"/>
      <c r="C18" s="8" t="s">
        <v>143</v>
      </c>
      <c r="D18" s="8"/>
      <c r="E18" s="8">
        <f>SUM(E3:E16)</f>
        <v>115</v>
      </c>
      <c r="F18" s="8"/>
      <c r="G18" s="8"/>
    </row>
    <row r="21" spans="1:8" x14ac:dyDescent="0.3">
      <c r="A21" s="32" t="s">
        <v>144</v>
      </c>
      <c r="B21" s="32"/>
      <c r="C21" s="32"/>
      <c r="D21" s="32"/>
      <c r="E21" s="32"/>
      <c r="F21" s="32"/>
      <c r="G21" s="32"/>
      <c r="H21" s="32"/>
    </row>
    <row r="22" spans="1:8" x14ac:dyDescent="0.3">
      <c r="A22" s="1" t="s">
        <v>145</v>
      </c>
      <c r="B22" s="1" t="s">
        <v>146</v>
      </c>
    </row>
    <row r="23" spans="1:8" x14ac:dyDescent="0.3">
      <c r="A23" s="19" t="s">
        <v>147</v>
      </c>
      <c r="B23" s="20">
        <f>SUBTOTAL(9,E3:E17)</f>
        <v>132</v>
      </c>
    </row>
    <row r="24" spans="1:8" x14ac:dyDescent="0.3">
      <c r="A24" s="21" t="s">
        <v>148</v>
      </c>
      <c r="B24" s="22">
        <f>SUBTOTAL(2,E3:E17)</f>
        <v>15</v>
      </c>
    </row>
    <row r="25" spans="1:8" x14ac:dyDescent="0.3">
      <c r="A25" s="19" t="s">
        <v>149</v>
      </c>
      <c r="B25" s="20">
        <f>SUBTOTAL(101,E3:E17)</f>
        <v>8.8000000000000007</v>
      </c>
    </row>
    <row r="26" spans="1:8" x14ac:dyDescent="0.3">
      <c r="A26" s="21" t="s">
        <v>150</v>
      </c>
      <c r="B26" s="22">
        <f>SUBTOTAL(4,E3:E17)</f>
        <v>32</v>
      </c>
    </row>
  </sheetData>
  <dataConsolidate/>
  <mergeCells count="2">
    <mergeCell ref="A1:H1"/>
    <mergeCell ref="A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zoomScaleNormal="100" workbookViewId="0">
      <selection activeCell="C6" sqref="C6"/>
    </sheetView>
  </sheetViews>
  <sheetFormatPr defaultColWidth="8.6640625" defaultRowHeight="14.4" x14ac:dyDescent="0.3"/>
  <cols>
    <col min="1" max="1" width="24.109375" bestFit="1" customWidth="1"/>
    <col min="2" max="2" width="37.88671875" customWidth="1"/>
    <col min="3" max="3" width="65.5546875" customWidth="1"/>
    <col min="4" max="4" width="22" customWidth="1"/>
  </cols>
  <sheetData>
    <row r="1" spans="1:6" x14ac:dyDescent="0.3">
      <c r="A1" s="32" t="s">
        <v>151</v>
      </c>
      <c r="B1" s="32"/>
      <c r="C1" s="32"/>
      <c r="D1" s="32"/>
      <c r="E1" s="32"/>
      <c r="F1" s="32"/>
    </row>
    <row r="2" spans="1:6" x14ac:dyDescent="0.3">
      <c r="A2" s="1" t="s">
        <v>152</v>
      </c>
      <c r="B2" s="1" t="s">
        <v>153</v>
      </c>
      <c r="C2" s="1" t="s">
        <v>154</v>
      </c>
      <c r="D2" s="1" t="s">
        <v>155</v>
      </c>
    </row>
    <row r="3" spans="1:6" x14ac:dyDescent="0.3">
      <c r="A3" s="23" t="s">
        <v>156</v>
      </c>
      <c r="B3" s="19" t="s">
        <v>157</v>
      </c>
      <c r="C3" s="24" t="str">
        <f>IFERROR(10/0,"Cannot divide by 0")</f>
        <v>Cannot divide by 0</v>
      </c>
      <c r="D3" s="25"/>
    </row>
    <row r="4" spans="1:6" x14ac:dyDescent="0.3">
      <c r="A4" s="23" t="s">
        <v>158</v>
      </c>
      <c r="B4" s="21" t="s">
        <v>159</v>
      </c>
      <c r="C4" s="24" t="str">
        <f>IFERROR(VLOOKUP("BUG-999",Dataset!A2:E21,5,FALSE),"Not Found")</f>
        <v>Not Found</v>
      </c>
      <c r="D4" s="25"/>
    </row>
    <row r="5" spans="1:6" x14ac:dyDescent="0.3">
      <c r="A5" s="23" t="s">
        <v>160</v>
      </c>
      <c r="B5" s="19" t="s">
        <v>161</v>
      </c>
      <c r="C5" s="24" t="str">
        <f>IFERROR(10+"abc","Text Error")</f>
        <v>Text Error</v>
      </c>
      <c r="D5" s="25"/>
    </row>
    <row r="6" spans="1:6" x14ac:dyDescent="0.3">
      <c r="A6" s="23" t="s">
        <v>162</v>
      </c>
      <c r="B6" s="21" t="s">
        <v>163</v>
      </c>
      <c r="C6" s="24"/>
      <c r="D6" s="25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tabSelected="1" zoomScaleNormal="100" workbookViewId="0">
      <selection activeCell="B9" sqref="B9"/>
    </sheetView>
  </sheetViews>
  <sheetFormatPr defaultColWidth="8.6640625" defaultRowHeight="14.4" x14ac:dyDescent="0.3"/>
  <cols>
    <col min="1" max="1" width="30" customWidth="1"/>
    <col min="2" max="2" width="40" customWidth="1"/>
    <col min="3" max="3" width="20" customWidth="1"/>
    <col min="4" max="4" width="40" customWidth="1"/>
  </cols>
  <sheetData>
    <row r="1" spans="1:5" ht="15.6" x14ac:dyDescent="0.3">
      <c r="A1" s="31" t="s">
        <v>164</v>
      </c>
      <c r="B1" s="31"/>
      <c r="C1" s="31"/>
      <c r="D1" s="31"/>
      <c r="E1" s="31"/>
    </row>
    <row r="2" spans="1:5" x14ac:dyDescent="0.3">
      <c r="A2" s="1" t="s">
        <v>145</v>
      </c>
      <c r="B2" s="1" t="s">
        <v>165</v>
      </c>
      <c r="C2" s="1" t="s">
        <v>166</v>
      </c>
      <c r="D2" s="1" t="s">
        <v>167</v>
      </c>
    </row>
    <row r="3" spans="1:5" x14ac:dyDescent="0.3">
      <c r="A3" s="19" t="s">
        <v>168</v>
      </c>
      <c r="B3" s="28" t="str">
        <f>HYPERLINK("#Dataset!A1","Go to DataSet")</f>
        <v>Go to DataSet</v>
      </c>
      <c r="C3" s="2" t="s">
        <v>169</v>
      </c>
      <c r="D3" s="19" t="s">
        <v>170</v>
      </c>
    </row>
    <row r="4" spans="1:5" x14ac:dyDescent="0.3">
      <c r="A4" s="21" t="s">
        <v>171</v>
      </c>
      <c r="B4" s="36" t="str">
        <f>HYPERLINK("#Charts!$A$2","Go to charts")</f>
        <v>Go to charts</v>
      </c>
      <c r="C4" s="5" t="s">
        <v>169</v>
      </c>
      <c r="D4" s="21"/>
    </row>
    <row r="5" spans="1:5" x14ac:dyDescent="0.3">
      <c r="A5" s="19" t="s">
        <v>172</v>
      </c>
      <c r="B5" s="28" t="str">
        <f>HYPERLINK("https://www.youtube.com/","Go to Youtube")</f>
        <v>Go to Youtube</v>
      </c>
      <c r="C5" s="2" t="s">
        <v>173</v>
      </c>
      <c r="D5" s="19" t="s">
        <v>174</v>
      </c>
    </row>
    <row r="6" spans="1:5" x14ac:dyDescent="0.3">
      <c r="A6" s="21" t="s">
        <v>175</v>
      </c>
      <c r="B6" s="36" t="str">
        <f>HYPERLINK("mailto:2k22cse060@kiot.ac.in","Mail")</f>
        <v>Mail</v>
      </c>
      <c r="C6" s="5" t="s">
        <v>176</v>
      </c>
      <c r="D6" s="21" t="s">
        <v>177</v>
      </c>
    </row>
    <row r="7" spans="1:5" x14ac:dyDescent="0.3">
      <c r="A7" s="19" t="s">
        <v>178</v>
      </c>
      <c r="B7" s="28" t="str">
        <f>HYPERLINK(Dataset!A2)</f>
        <v>BUG-001</v>
      </c>
      <c r="C7" s="2" t="s">
        <v>179</v>
      </c>
      <c r="D7" s="19" t="s">
        <v>180</v>
      </c>
    </row>
    <row r="8" spans="1:5" x14ac:dyDescent="0.3">
      <c r="A8" s="21" t="s">
        <v>181</v>
      </c>
      <c r="B8" s="36" t="str">
        <f>HYPERLINK(Dataset!D6)</f>
        <v>Critical</v>
      </c>
      <c r="C8" s="5" t="s">
        <v>179</v>
      </c>
      <c r="D8" s="21" t="s">
        <v>182</v>
      </c>
    </row>
    <row r="9" spans="1:5" x14ac:dyDescent="0.3">
      <c r="A9" s="19" t="s">
        <v>183</v>
      </c>
      <c r="B9" s="28" t="str">
        <f>HYPERLINK(Dataset!A2&amp;Dataset!B2&amp;Dataset!D2,"Open")</f>
        <v>Open</v>
      </c>
      <c r="C9" s="2" t="s">
        <v>184</v>
      </c>
      <c r="D9" s="37" t="s">
        <v>185</v>
      </c>
    </row>
    <row r="10" spans="1:5" x14ac:dyDescent="0.3">
      <c r="A10" s="21" t="s">
        <v>186</v>
      </c>
      <c r="B10" s="26"/>
      <c r="C10" s="5" t="s">
        <v>184</v>
      </c>
      <c r="D10" s="21" t="s">
        <v>187</v>
      </c>
    </row>
    <row r="13" spans="1:5" x14ac:dyDescent="0.3">
      <c r="B13" s="29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</vt:lpstr>
      <vt:lpstr>Lookup_Logical</vt:lpstr>
      <vt:lpstr>Charts</vt:lpstr>
      <vt:lpstr>DateTime_Text</vt:lpstr>
      <vt:lpstr>Validation_CondFormat</vt:lpstr>
      <vt:lpstr>AdvFilter_Sort</vt:lpstr>
      <vt:lpstr>Summarize_Outline</vt:lpstr>
      <vt:lpstr>Protect_Import_Extra</vt:lpstr>
      <vt:lpstr>Hyper_DataLinking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Jerishwin Joseph</cp:lastModifiedBy>
  <cp:revision>1</cp:revision>
  <dcterms:created xsi:type="dcterms:W3CDTF">2026-06-08T11:21:56Z</dcterms:created>
  <dcterms:modified xsi:type="dcterms:W3CDTF">2026-06-19T07:36:59Z</dcterms:modified>
  <dc:language>en-US</dc:language>
</cp:coreProperties>
</file>