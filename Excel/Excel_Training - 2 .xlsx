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taset" sheetId="1" state="visible" r:id="rId3"/>
    <sheet name="S2_Lookup_Functions" sheetId="2" state="visible" r:id="rId4"/>
    <sheet name="S3_Logical_Functions" sheetId="3" state="visible" r:id="rId5"/>
    <sheet name="S4_DateTime_Functions" sheetId="4" state="visible" r:id="rId6"/>
    <sheet name="S5_Text_Fun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<sst xmlns="http://schemas.openxmlformats.org/spreadsheetml/2006/main" count="509" uniqueCount="177">
  <si>
    <t xml:space="preserve">Bug_ID</t>
  </si>
  <si>
    <t xml:space="preserve">Project</t>
  </si>
  <si>
    <t xml:space="preserve">Module</t>
  </si>
  <si>
    <t xml:space="preserve">Tester</t>
  </si>
  <si>
    <t xml:space="preserve">Severity</t>
  </si>
  <si>
    <t xml:space="preserve">Priority</t>
  </si>
  <si>
    <t xml:space="preserve">Status</t>
  </si>
  <si>
    <t xml:space="preserve">Reported_Date</t>
  </si>
  <si>
    <t xml:space="preserve">Resolved_Date</t>
  </si>
  <si>
    <t xml:space="preserve">Days_Open</t>
  </si>
  <si>
    <t xml:space="preserve">Hours_Spent</t>
  </si>
  <si>
    <t xml:space="preserve">Pass_Fail</t>
  </si>
  <si>
    <t xml:space="preserve">Environment</t>
  </si>
  <si>
    <t xml:space="preserve">Retest_Due</t>
  </si>
  <si>
    <t xml:space="preserve">Bug_Description</t>
  </si>
  <si>
    <t xml:space="preserve">BUG-001</t>
  </si>
  <si>
    <t xml:space="preserve">Alpha</t>
  </si>
  <si>
    <t xml:space="preserve">Login</t>
  </si>
  <si>
    <t xml:space="preserve">Alice</t>
  </si>
  <si>
    <t xml:space="preserve">Critical</t>
  </si>
  <si>
    <t xml:space="preserve">High</t>
  </si>
  <si>
    <t xml:space="preserve">Open</t>
  </si>
  <si>
    <t xml:space="preserve">Fail</t>
  </si>
  <si>
    <t xml:space="preserve">QA</t>
  </si>
  <si>
    <t xml:space="preserve">Login button unresponsive on Chrome</t>
  </si>
  <si>
    <t xml:space="preserve">BUG-002</t>
  </si>
  <si>
    <t xml:space="preserve">Dashboard</t>
  </si>
  <si>
    <t xml:space="preserve">Bob</t>
  </si>
  <si>
    <t xml:space="preserve">Resolved</t>
  </si>
  <si>
    <t xml:space="preserve">Pass</t>
  </si>
  <si>
    <t xml:space="preserve">Dashboard loads slowly on first open</t>
  </si>
  <si>
    <t xml:space="preserve">BUG-003</t>
  </si>
  <si>
    <t xml:space="preserve">Beta</t>
  </si>
  <si>
    <t xml:space="preserve">Reports</t>
  </si>
  <si>
    <t xml:space="preserve">Medium</t>
  </si>
  <si>
    <t xml:space="preserve">Staging</t>
  </si>
  <si>
    <t xml:space="preserve">Export to PDF fails silently</t>
  </si>
  <si>
    <t xml:space="preserve">BUG-004</t>
  </si>
  <si>
    <t xml:space="preserve">Charlie</t>
  </si>
  <si>
    <t xml:space="preserve">Low</t>
  </si>
  <si>
    <t xml:space="preserve">Closed</t>
  </si>
  <si>
    <t xml:space="preserve">Typo in login error message</t>
  </si>
  <si>
    <t xml:space="preserve">BUG-005</t>
  </si>
  <si>
    <t xml:space="preserve">Payments</t>
  </si>
  <si>
    <t xml:space="preserve">Production</t>
  </si>
  <si>
    <t xml:space="preserve">Payment gateway timeout on retry</t>
  </si>
  <si>
    <t xml:space="preserve">BUG-006</t>
  </si>
  <si>
    <t xml:space="preserve">Gamma</t>
  </si>
  <si>
    <t xml:space="preserve">Search</t>
  </si>
  <si>
    <t xml:space="preserve">Diana</t>
  </si>
  <si>
    <t xml:space="preserve">Search returns wrong result set</t>
  </si>
  <si>
    <t xml:space="preserve">BUG-007</t>
  </si>
  <si>
    <t xml:space="preserve">Report pagination broken on page 3</t>
  </si>
  <si>
    <t xml:space="preserve">BUG-008</t>
  </si>
  <si>
    <t xml:space="preserve">Password field asterisks missing</t>
  </si>
  <si>
    <t xml:space="preserve">BUG-009</t>
  </si>
  <si>
    <t xml:space="preserve">App crashes on dashboard load</t>
  </si>
  <si>
    <t xml:space="preserve">BUG-010</t>
  </si>
  <si>
    <t xml:space="preserve">Double charge on payment retry</t>
  </si>
  <si>
    <t xml:space="preserve">BUG-011</t>
  </si>
  <si>
    <t xml:space="preserve">SSO redirect broken after logout</t>
  </si>
  <si>
    <t xml:space="preserve">BUG-012</t>
  </si>
  <si>
    <t xml:space="preserve">Minor UI alignment issue in search bar</t>
  </si>
  <si>
    <t xml:space="preserve">BUG-013</t>
  </si>
  <si>
    <t xml:space="preserve">Search API returns HTTP 500 error</t>
  </si>
  <si>
    <t xml:space="preserve">BUG-014</t>
  </si>
  <si>
    <t xml:space="preserve">Currency conversion rounding error</t>
  </si>
  <si>
    <t xml:space="preserve">BUG-015</t>
  </si>
  <si>
    <t xml:space="preserve">Date filter not applying correctly</t>
  </si>
  <si>
    <t xml:space="preserve">BUG-016</t>
  </si>
  <si>
    <t xml:space="preserve">Remember me checkbox state bug</t>
  </si>
  <si>
    <t xml:space="preserve">BUG-017</t>
  </si>
  <si>
    <t xml:space="preserve">Memory leak on dashboard widget</t>
  </si>
  <si>
    <t xml:space="preserve">BUG-018</t>
  </si>
  <si>
    <t xml:space="preserve">Discount code not applied at checkout</t>
  </si>
  <si>
    <t xml:space="preserve">BUG-019</t>
  </si>
  <si>
    <t xml:space="preserve">CSV export has encoding issue with UTF-8</t>
  </si>
  <si>
    <t xml:space="preserve">BUG-020</t>
  </si>
  <si>
    <t xml:space="preserve">Autocomplete flicker on fast typing</t>
  </si>
  <si>
    <t xml:space="preserve">LOOKUP FUNCTIONS  |  Source: Dataset sheet  |  Topics: VLOOKUP · HLOOKUP · INDEX · MATCH · OFFSET · INDIRECT</t>
  </si>
  <si>
    <t xml:space="preserve">A  ›  VLOOKUP — Find a value in the first column, return a value from another column</t>
  </si>
  <si>
    <t xml:space="preserve">Bug_ID (lookup)</t>
  </si>
  <si>
    <t xml:space="preserve">B  ›  INDEX + MATCH — More flexible than VLOOKUP; can look left and use any column</t>
  </si>
  <si>
    <t xml:space="preserve">Tester (INDEX+MATCH)</t>
  </si>
  <si>
    <t xml:space="preserve">C  ›  OFFSET — Returns a cell/range shifted by rows &amp; cols from a starting point</t>
  </si>
  <si>
    <t xml:space="preserve">Row_Offset</t>
  </si>
  <si>
    <t xml:space="preserve">Module (OFFSET)</t>
  </si>
  <si>
    <t xml:space="preserve">Severity (OFFSET)</t>
  </si>
  <si>
    <t xml:space="preserve">Hours (OFFSET)</t>
  </si>
  <si>
    <t xml:space="preserve">Status (OFFSET)</t>
  </si>
  <si>
    <t xml:space="preserve">D  ›  INDIRECT — Builds a cell reference from a text string (useful for dynamic sheet/range references)</t>
  </si>
  <si>
    <t xml:space="preserve">Row_Number</t>
  </si>
  <si>
    <t xml:space="preserve">Module (INDIRECT)</t>
  </si>
  <si>
    <t xml:space="preserve">Tester (INDIRECT)</t>
  </si>
  <si>
    <t xml:space="preserve">Hours (INDIRECT)</t>
  </si>
  <si>
    <t xml:space="preserve">Description (INDIRECT)</t>
  </si>
  <si>
    <t xml:space="preserve">LOGICAL FUNCTIONS  |  Topics: IF · Nested IF · AND · OR · ISERROR · IFERROR</t>
  </si>
  <si>
    <t xml:space="preserve">A  ›  IF — Checks a condition; returns one value if TRUE, another if FALSE</t>
  </si>
  <si>
    <t xml:space="preserve">Priority_Flag</t>
  </si>
  <si>
    <t xml:space="preserve">Hours</t>
  </si>
  <si>
    <t xml:space="preserve">Effort_Label</t>
  </si>
  <si>
    <t xml:space="preserve">Result_Emoji</t>
  </si>
  <si>
    <t xml:space="preserve">B  ›  AND / OR — Combine multiple conditions inside an IF</t>
  </si>
  <si>
    <t xml:space="preserve">AND: Critical+Open</t>
  </si>
  <si>
    <t xml:space="preserve">OR: Critical/High</t>
  </si>
  <si>
    <t xml:space="preserve">AND: Resolved+Pass</t>
  </si>
  <si>
    <t xml:space="preserve">Escalate? (nested)</t>
  </si>
  <si>
    <t xml:space="preserve">DATE / TIME FUNCTIONS  |  Topics: TODAY · NOW · DATE · DATEDIF · NETWORKDAYS · EOMONTH · WEEKNUM</t>
  </si>
  <si>
    <t xml:space="preserve">A  ›  TODAY · NOW · DATE — Getting and building dates</t>
  </si>
  <si>
    <t xml:space="preserve">TODAY() = today's date (updates daily).  NOW() = current date+time.  DATE(year,month,day) = build a date from parts.</t>
  </si>
  <si>
    <t xml:space="preserve">Formula</t>
  </si>
  <si>
    <t xml:space="preserve">Result</t>
  </si>
  <si>
    <t xml:space="preserve">Notes</t>
  </si>
  <si>
    <t xml:space="preserve">Today's date (auto-updates)</t>
  </si>
  <si>
    <t xml:space="preserve">Current date + time</t>
  </si>
  <si>
    <t xml:space="preserve">Build date: 15-Mar-2024</t>
  </si>
  <si>
    <t xml:space="preserve">Current year</t>
  </si>
  <si>
    <t xml:space="preserve">Current month number</t>
  </si>
  <si>
    <t xml:space="preserve">Day of today</t>
  </si>
  <si>
    <t xml:space="preserve">Days elapsed since 1 Jan 2024</t>
  </si>
  <si>
    <t xml:space="preserve">B  ›  DATEDIF · NETWORKDAYS · EOMONTH · WEEKNUM — Calculating with dates from Bug records</t>
  </si>
  <si>
    <t xml:space="preserve">Reported</t>
  </si>
  <si>
    <t xml:space="preserve">Days_Open (DATEDIF)</t>
  </si>
  <si>
    <t xml:space="preserve">Work_Days (NETWORKDAYS)</t>
  </si>
  <si>
    <t xml:space="preserve">Month_End (EOMONTH)</t>
  </si>
  <si>
    <t xml:space="preserve">Week_Num</t>
  </si>
  <si>
    <t xml:space="preserve">TEXT FUNCTIONS  |  Topics: MID · SEARCH · LEFT · RIGHT · TRIM · CLEAN · UPPER · LOWER · PROPER · SUBSTITUTE · DOLLAR · TEXT</t>
  </si>
  <si>
    <t xml:space="preserve">A  ›  LEFT · RIGHT · MID · SEARCH — Extract parts of text</t>
  </si>
  <si>
    <t xml:space="preserve">Bug_ID text</t>
  </si>
  <si>
    <t xml:space="preserve">LEFT 3</t>
  </si>
  <si>
    <t xml:space="preserve">RIGHT 3</t>
  </si>
  <si>
    <t xml:space="preserve">MID (5,3) = num part</t>
  </si>
  <si>
    <t xml:space="preserve">SEARCH 'BUG'</t>
  </si>
  <si>
    <t xml:space="preserve">SEARCH '-' pos</t>
  </si>
  <si>
    <t xml:space="preserve">B  ›  TRIM · CLEAN · UPPER · LOWER · PROPER — Clean and transform text case</t>
  </si>
  <si>
    <t xml:space="preserve">Raw_Text (messy)</t>
  </si>
  <si>
    <t xml:space="preserve">TRIM</t>
  </si>
  <si>
    <t xml:space="preserve">UPPER</t>
  </si>
  <si>
    <t xml:space="preserve">LOWER</t>
  </si>
  <si>
    <t xml:space="preserve">PROPER</t>
  </si>
  <si>
    <t xml:space="preserve">CLEAN</t>
  </si>
  <si>
    <t xml:space="preserve">  critical  BUG  </t>
  </si>
  <si>
    <t xml:space="preserve">ALPHA   project</t>
  </si>
  <si>
    <t xml:space="preserve">  login MODULE  </t>
  </si>
  <si>
    <t xml:space="preserve">beta DASHBOARD</t>
  </si>
  <si>
    <t xml:space="preserve">  PAYMENTS  module  </t>
  </si>
  <si>
    <t xml:space="preserve">  gamma search  </t>
  </si>
  <si>
    <t xml:space="preserve">REPORTS   module</t>
  </si>
  <si>
    <t xml:space="preserve">  QA   environment  </t>
  </si>
  <si>
    <t xml:space="preserve">  staging  BUILD  </t>
  </si>
  <si>
    <t xml:space="preserve">PRODUCTION   env  </t>
  </si>
  <si>
    <t xml:space="preserve">C  ›  SUBSTITUTE · DOLLAR · TEXT · CONCATENATE — Replace text, format numbers as text, join strings</t>
  </si>
  <si>
    <t xml:space="preserve">Bug_ID original</t>
  </si>
  <si>
    <t xml:space="preserve">SUBSTITUTE BUG→DEF</t>
  </si>
  <si>
    <t xml:space="preserve">DOLLAR format</t>
  </si>
  <si>
    <t xml:space="preserve">TEXT date</t>
  </si>
  <si>
    <t xml:space="preserve">CONCAT: ID+Project</t>
  </si>
  <si>
    <t xml:space="preserve">D  ›  TEXT function — Format any number or date into a specific display string</t>
  </si>
  <si>
    <t xml:space="preserve">TEXT(value, "format_code")  |  Use to control exactly how a number or date appears as text</t>
  </si>
  <si>
    <t xml:space="preserve">Value</t>
  </si>
  <si>
    <t xml:space="preserve">Format Code</t>
  </si>
  <si>
    <t xml:space="preserve">TEXT Result</t>
  </si>
  <si>
    <t xml:space="preserve">Use Case</t>
  </si>
  <si>
    <t xml:space="preserve">"DD-MMM-YYYY"</t>
  </si>
  <si>
    <t xml:space="preserve">Readable date like 05-Jan-2024</t>
  </si>
  <si>
    <t xml:space="preserve">"MMMM YYYY"</t>
  </si>
  <si>
    <t xml:space="preserve">Month and Year like January 2024</t>
  </si>
  <si>
    <t xml:space="preserve">"DDD"</t>
  </si>
  <si>
    <t xml:space="preserve">Short day name like Mon</t>
  </si>
  <si>
    <t xml:space="preserve">"$#,##0.00"</t>
  </si>
  <si>
    <t xml:space="preserve">Currency: $8.00</t>
  </si>
  <si>
    <t xml:space="preserve">"0.0%"</t>
  </si>
  <si>
    <t xml:space="preserve">Percentage: 87.6%</t>
  </si>
  <si>
    <t xml:space="preserve">"#,##0"</t>
  </si>
  <si>
    <t xml:space="preserve">Thousands separator: 12,345</t>
  </si>
  <si>
    <t xml:space="preserve">"YYYY-MM-DD"</t>
  </si>
  <si>
    <t xml:space="preserve">ISO format: 2024-01-05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</si>
</sst>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General"/>
    <numFmt numFmtId="167" formatCode="mm/dd/yy"/>
    <numFmt numFmtId="168" formatCode="mm/dd/yy\ hh:mm\ AM/P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7030A0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FFF2CC"/>
      </patternFill>
    </fill>
    <fill>
      <patternFill patternType="solid">
        <fgColor rgb="FFBDD7EE"/>
        <bgColor rgb="FFD6E4F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3"/>
    <col collapsed="false" customWidth="true" hidden="false" outlineLevel="0" max="15" min="15" style="0" width="3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30" hidden="false" customHeight="tru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 t="n">
        <v>45296</v>
      </c>
      <c r="I2" s="2"/>
      <c r="J2" s="4" t="n">
        <f aca="true">IFERROR(IF(G2="Open",TODAY()-H2,I2-H2),"—")</f>
        <v>896</v>
      </c>
      <c r="K2" s="2" t="n">
        <v>8</v>
      </c>
      <c r="L2" s="2" t="s">
        <v>22</v>
      </c>
      <c r="M2" s="2" t="s">
        <v>23</v>
      </c>
      <c r="N2" s="3" t="n">
        <v>45301</v>
      </c>
      <c r="O2" s="5" t="s">
        <v>24</v>
      </c>
    </row>
    <row r="3" customFormat="false" ht="30" hidden="false" customHeight="true" outlineLevel="0" collapsed="false">
      <c r="A3" s="6" t="s">
        <v>25</v>
      </c>
      <c r="B3" s="6" t="s">
        <v>16</v>
      </c>
      <c r="C3" s="6" t="s">
        <v>26</v>
      </c>
      <c r="D3" s="6" t="s">
        <v>27</v>
      </c>
      <c r="E3" s="6" t="s">
        <v>20</v>
      </c>
      <c r="F3" s="6" t="s">
        <v>20</v>
      </c>
      <c r="G3" s="6" t="s">
        <v>28</v>
      </c>
      <c r="H3" s="7" t="n">
        <v>45297</v>
      </c>
      <c r="I3" s="7" t="n">
        <v>45299</v>
      </c>
      <c r="J3" s="8" t="n">
        <f aca="true">IFERROR(IF(G3="Open",TODAY()-H3,I3-H3),"—")</f>
        <v>2</v>
      </c>
      <c r="K3" s="6" t="n">
        <v>5</v>
      </c>
      <c r="L3" s="6" t="s">
        <v>29</v>
      </c>
      <c r="M3" s="6" t="s">
        <v>23</v>
      </c>
      <c r="N3" s="7" t="n">
        <v>45300</v>
      </c>
      <c r="O3" s="9" t="s">
        <v>30</v>
      </c>
    </row>
    <row r="4" customFormat="false" ht="30" hidden="false" customHeight="true" outlineLevel="0" collapsed="false">
      <c r="A4" s="2" t="s">
        <v>31</v>
      </c>
      <c r="B4" s="2" t="s">
        <v>32</v>
      </c>
      <c r="C4" s="2" t="s">
        <v>33</v>
      </c>
      <c r="D4" s="2" t="s">
        <v>18</v>
      </c>
      <c r="E4" s="2" t="s">
        <v>34</v>
      </c>
      <c r="F4" s="2" t="s">
        <v>34</v>
      </c>
      <c r="G4" s="2" t="s">
        <v>21</v>
      </c>
      <c r="H4" s="3" t="n">
        <v>45298</v>
      </c>
      <c r="I4" s="2"/>
      <c r="J4" s="4" t="n">
        <f aca="true">IFERROR(IF(G4="Open",TODAY()-H4,I4-H4),"—")</f>
        <v>894</v>
      </c>
      <c r="K4" s="2" t="n">
        <v>3</v>
      </c>
      <c r="L4" s="2" t="s">
        <v>22</v>
      </c>
      <c r="M4" s="2" t="s">
        <v>35</v>
      </c>
      <c r="N4" s="3" t="n">
        <v>45303</v>
      </c>
      <c r="O4" s="5" t="s">
        <v>36</v>
      </c>
    </row>
    <row r="5" customFormat="false" ht="30" hidden="false" customHeight="true" outlineLevel="0" collapsed="false">
      <c r="A5" s="6" t="s">
        <v>37</v>
      </c>
      <c r="B5" s="6" t="s">
        <v>32</v>
      </c>
      <c r="C5" s="6" t="s">
        <v>17</v>
      </c>
      <c r="D5" s="6" t="s">
        <v>38</v>
      </c>
      <c r="E5" s="6" t="s">
        <v>39</v>
      </c>
      <c r="F5" s="6" t="s">
        <v>39</v>
      </c>
      <c r="G5" s="6" t="s">
        <v>40</v>
      </c>
      <c r="H5" s="7" t="n">
        <v>45299</v>
      </c>
      <c r="I5" s="7" t="n">
        <v>45300</v>
      </c>
      <c r="J5" s="8" t="n">
        <f aca="true">IFERROR(IF(G5="Open",TODAY()-H5,I5-H5),"—")</f>
        <v>1</v>
      </c>
      <c r="K5" s="6" t="n">
        <v>2</v>
      </c>
      <c r="L5" s="6" t="s">
        <v>29</v>
      </c>
      <c r="M5" s="6" t="s">
        <v>23</v>
      </c>
      <c r="N5" s="6"/>
      <c r="O5" s="9" t="s">
        <v>41</v>
      </c>
    </row>
    <row r="6" customFormat="false" ht="30" hidden="false" customHeight="true" outlineLevel="0" collapsed="false">
      <c r="A6" s="2" t="s">
        <v>42</v>
      </c>
      <c r="B6" s="2" t="s">
        <v>16</v>
      </c>
      <c r="C6" s="2" t="s">
        <v>43</v>
      </c>
      <c r="D6" s="2" t="s">
        <v>27</v>
      </c>
      <c r="E6" s="2" t="s">
        <v>19</v>
      </c>
      <c r="F6" s="2" t="s">
        <v>20</v>
      </c>
      <c r="G6" s="2" t="s">
        <v>28</v>
      </c>
      <c r="H6" s="3" t="n">
        <v>45300</v>
      </c>
      <c r="I6" s="3" t="n">
        <v>45302</v>
      </c>
      <c r="J6" s="4" t="n">
        <f aca="true">IFERROR(IF(G6="Open",TODAY()-H6,I6-H6),"—")</f>
        <v>2</v>
      </c>
      <c r="K6" s="2" t="n">
        <v>10</v>
      </c>
      <c r="L6" s="2" t="s">
        <v>29</v>
      </c>
      <c r="M6" s="2" t="s">
        <v>44</v>
      </c>
      <c r="N6" s="3" t="n">
        <v>45303</v>
      </c>
      <c r="O6" s="5" t="s">
        <v>45</v>
      </c>
    </row>
    <row r="7" customFormat="false" ht="30" hidden="false" customHeight="true" outlineLevel="0" collapsed="false">
      <c r="A7" s="6" t="s">
        <v>46</v>
      </c>
      <c r="B7" s="6" t="s">
        <v>47</v>
      </c>
      <c r="C7" s="6" t="s">
        <v>48</v>
      </c>
      <c r="D7" s="6" t="s">
        <v>49</v>
      </c>
      <c r="E7" s="6" t="s">
        <v>20</v>
      </c>
      <c r="F7" s="6" t="s">
        <v>34</v>
      </c>
      <c r="G7" s="6" t="s">
        <v>21</v>
      </c>
      <c r="H7" s="7" t="n">
        <v>45301</v>
      </c>
      <c r="I7" s="6"/>
      <c r="J7" s="8" t="n">
        <f aca="true">IFERROR(IF(G7="Open",TODAY()-H7,I7-H7),"—")</f>
        <v>891</v>
      </c>
      <c r="K7" s="6" t="n">
        <v>4</v>
      </c>
      <c r="L7" s="6" t="s">
        <v>22</v>
      </c>
      <c r="M7" s="6" t="s">
        <v>23</v>
      </c>
      <c r="N7" s="7" t="n">
        <v>45306</v>
      </c>
      <c r="O7" s="9" t="s">
        <v>50</v>
      </c>
    </row>
    <row r="8" customFormat="false" ht="30" hidden="false" customHeight="true" outlineLevel="0" collapsed="false">
      <c r="A8" s="2" t="s">
        <v>51</v>
      </c>
      <c r="B8" s="2" t="s">
        <v>47</v>
      </c>
      <c r="C8" s="2" t="s">
        <v>33</v>
      </c>
      <c r="D8" s="2" t="s">
        <v>38</v>
      </c>
      <c r="E8" s="2" t="s">
        <v>34</v>
      </c>
      <c r="F8" s="2" t="s">
        <v>39</v>
      </c>
      <c r="G8" s="2" t="s">
        <v>40</v>
      </c>
      <c r="H8" s="3" t="n">
        <v>45302</v>
      </c>
      <c r="I8" s="3" t="n">
        <v>45304</v>
      </c>
      <c r="J8" s="4" t="n">
        <f aca="true">IFERROR(IF(G8="Open",TODAY()-H8,I8-H8),"—")</f>
        <v>2</v>
      </c>
      <c r="K8" s="2" t="n">
        <v>3</v>
      </c>
      <c r="L8" s="2" t="s">
        <v>29</v>
      </c>
      <c r="M8" s="2" t="s">
        <v>35</v>
      </c>
      <c r="N8" s="2"/>
      <c r="O8" s="5" t="s">
        <v>52</v>
      </c>
    </row>
    <row r="9" customFormat="false" ht="30" hidden="false" customHeight="true" outlineLevel="0" collapsed="false">
      <c r="A9" s="6" t="s">
        <v>53</v>
      </c>
      <c r="B9" s="6" t="s">
        <v>16</v>
      </c>
      <c r="C9" s="6" t="s">
        <v>17</v>
      </c>
      <c r="D9" s="6" t="s">
        <v>18</v>
      </c>
      <c r="E9" s="6" t="s">
        <v>39</v>
      </c>
      <c r="F9" s="6" t="s">
        <v>39</v>
      </c>
      <c r="G9" s="6" t="s">
        <v>28</v>
      </c>
      <c r="H9" s="7" t="n">
        <v>45303</v>
      </c>
      <c r="I9" s="7" t="n">
        <v>45305</v>
      </c>
      <c r="J9" s="8" t="n">
        <f aca="true">IFERROR(IF(G9="Open",TODAY()-H9,I9-H9),"—")</f>
        <v>2</v>
      </c>
      <c r="K9" s="6" t="n">
        <v>2</v>
      </c>
      <c r="L9" s="6" t="s">
        <v>29</v>
      </c>
      <c r="M9" s="6" t="s">
        <v>23</v>
      </c>
      <c r="N9" s="7" t="n">
        <v>45306</v>
      </c>
      <c r="O9" s="9" t="s">
        <v>54</v>
      </c>
    </row>
    <row r="10" customFormat="false" ht="30" hidden="false" customHeight="true" outlineLevel="0" collapsed="false">
      <c r="A10" s="2" t="s">
        <v>55</v>
      </c>
      <c r="B10" s="2" t="s">
        <v>32</v>
      </c>
      <c r="C10" s="2" t="s">
        <v>26</v>
      </c>
      <c r="D10" s="2" t="s">
        <v>27</v>
      </c>
      <c r="E10" s="2" t="s">
        <v>19</v>
      </c>
      <c r="F10" s="2" t="s">
        <v>20</v>
      </c>
      <c r="G10" s="2" t="s">
        <v>21</v>
      </c>
      <c r="H10" s="3" t="n">
        <v>45304</v>
      </c>
      <c r="I10" s="2"/>
      <c r="J10" s="4" t="n">
        <f aca="true">IFERROR(IF(G10="Open",TODAY()-H10,I10-H10),"—")</f>
        <v>888</v>
      </c>
      <c r="K10" s="2" t="n">
        <v>7</v>
      </c>
      <c r="L10" s="2" t="s">
        <v>22</v>
      </c>
      <c r="M10" s="2" t="s">
        <v>44</v>
      </c>
      <c r="N10" s="3" t="n">
        <v>45309</v>
      </c>
      <c r="O10" s="5" t="s">
        <v>56</v>
      </c>
    </row>
    <row r="11" customFormat="false" ht="30" hidden="false" customHeight="true" outlineLevel="0" collapsed="false">
      <c r="A11" s="6" t="s">
        <v>57</v>
      </c>
      <c r="B11" s="6" t="s">
        <v>32</v>
      </c>
      <c r="C11" s="6" t="s">
        <v>43</v>
      </c>
      <c r="D11" s="6" t="s">
        <v>49</v>
      </c>
      <c r="E11" s="6" t="s">
        <v>20</v>
      </c>
      <c r="F11" s="6" t="s">
        <v>20</v>
      </c>
      <c r="G11" s="6" t="s">
        <v>28</v>
      </c>
      <c r="H11" s="7" t="n">
        <v>45305</v>
      </c>
      <c r="I11" s="7" t="n">
        <v>45307</v>
      </c>
      <c r="J11" s="8" t="n">
        <f aca="true">IFERROR(IF(G11="Open",TODAY()-H11,I11-H11),"—")</f>
        <v>2</v>
      </c>
      <c r="K11" s="6" t="n">
        <v>6</v>
      </c>
      <c r="L11" s="6" t="s">
        <v>29</v>
      </c>
      <c r="M11" s="6" t="s">
        <v>23</v>
      </c>
      <c r="N11" s="7" t="n">
        <v>45308</v>
      </c>
      <c r="O11" s="9" t="s">
        <v>58</v>
      </c>
    </row>
    <row r="12" customFormat="false" ht="30" hidden="false" customHeight="true" outlineLevel="0" collapsed="false">
      <c r="A12" s="2" t="s">
        <v>59</v>
      </c>
      <c r="B12" s="2" t="s">
        <v>47</v>
      </c>
      <c r="C12" s="2" t="s">
        <v>17</v>
      </c>
      <c r="D12" s="2" t="s">
        <v>18</v>
      </c>
      <c r="E12" s="2" t="s">
        <v>34</v>
      </c>
      <c r="F12" s="2" t="s">
        <v>34</v>
      </c>
      <c r="G12" s="2" t="s">
        <v>21</v>
      </c>
      <c r="H12" s="3" t="n">
        <v>45306</v>
      </c>
      <c r="I12" s="2"/>
      <c r="J12" s="4" t="n">
        <f aca="true">IFERROR(IF(G12="Open",TODAY()-H12,I12-H12),"—")</f>
        <v>886</v>
      </c>
      <c r="K12" s="2" t="n">
        <v>3</v>
      </c>
      <c r="L12" s="2" t="s">
        <v>22</v>
      </c>
      <c r="M12" s="2" t="s">
        <v>35</v>
      </c>
      <c r="N12" s="3" t="n">
        <v>45311</v>
      </c>
      <c r="O12" s="5" t="s">
        <v>60</v>
      </c>
    </row>
    <row r="13" customFormat="false" ht="30" hidden="false" customHeight="true" outlineLevel="0" collapsed="false">
      <c r="A13" s="6" t="s">
        <v>61</v>
      </c>
      <c r="B13" s="6" t="s">
        <v>16</v>
      </c>
      <c r="C13" s="6" t="s">
        <v>48</v>
      </c>
      <c r="D13" s="6" t="s">
        <v>38</v>
      </c>
      <c r="E13" s="6" t="s">
        <v>39</v>
      </c>
      <c r="F13" s="6" t="s">
        <v>39</v>
      </c>
      <c r="G13" s="6" t="s">
        <v>40</v>
      </c>
      <c r="H13" s="7" t="n">
        <v>45307</v>
      </c>
      <c r="I13" s="7" t="n">
        <v>45308</v>
      </c>
      <c r="J13" s="8" t="n">
        <f aca="true">IFERROR(IF(G13="Open",TODAY()-H13,I13-H13),"—")</f>
        <v>1</v>
      </c>
      <c r="K13" s="6" t="n">
        <v>1</v>
      </c>
      <c r="L13" s="6" t="s">
        <v>29</v>
      </c>
      <c r="M13" s="6" t="s">
        <v>23</v>
      </c>
      <c r="N13" s="6"/>
      <c r="O13" s="9" t="s">
        <v>62</v>
      </c>
    </row>
    <row r="14" customFormat="false" ht="30" hidden="false" customHeight="true" outlineLevel="0" collapsed="false">
      <c r="A14" s="2" t="s">
        <v>63</v>
      </c>
      <c r="B14" s="2" t="s">
        <v>32</v>
      </c>
      <c r="C14" s="2" t="s">
        <v>48</v>
      </c>
      <c r="D14" s="2" t="s">
        <v>27</v>
      </c>
      <c r="E14" s="2" t="s">
        <v>19</v>
      </c>
      <c r="F14" s="2" t="s">
        <v>20</v>
      </c>
      <c r="G14" s="2" t="s">
        <v>28</v>
      </c>
      <c r="H14" s="3" t="n">
        <v>45308</v>
      </c>
      <c r="I14" s="3" t="n">
        <v>45310</v>
      </c>
      <c r="J14" s="4" t="n">
        <f aca="true">IFERROR(IF(G14="Open",TODAY()-H14,I14-H14),"—")</f>
        <v>2</v>
      </c>
      <c r="K14" s="2" t="n">
        <v>9</v>
      </c>
      <c r="L14" s="2" t="s">
        <v>29</v>
      </c>
      <c r="M14" s="2" t="s">
        <v>44</v>
      </c>
      <c r="N14" s="3" t="n">
        <v>45311</v>
      </c>
      <c r="O14" s="5" t="s">
        <v>64</v>
      </c>
    </row>
    <row r="15" customFormat="false" ht="30" hidden="false" customHeight="true" outlineLevel="0" collapsed="false">
      <c r="A15" s="6" t="s">
        <v>65</v>
      </c>
      <c r="B15" s="6" t="s">
        <v>47</v>
      </c>
      <c r="C15" s="6" t="s">
        <v>43</v>
      </c>
      <c r="D15" s="6" t="s">
        <v>49</v>
      </c>
      <c r="E15" s="6" t="s">
        <v>20</v>
      </c>
      <c r="F15" s="6" t="s">
        <v>34</v>
      </c>
      <c r="G15" s="6" t="s">
        <v>21</v>
      </c>
      <c r="H15" s="7" t="n">
        <v>45309</v>
      </c>
      <c r="I15" s="6"/>
      <c r="J15" s="8" t="n">
        <f aca="true">IFERROR(IF(G15="Open",TODAY()-H15,I15-H15),"—")</f>
        <v>883</v>
      </c>
      <c r="K15" s="6" t="n">
        <v>5</v>
      </c>
      <c r="L15" s="6" t="s">
        <v>22</v>
      </c>
      <c r="M15" s="6" t="s">
        <v>23</v>
      </c>
      <c r="N15" s="7" t="n">
        <v>45314</v>
      </c>
      <c r="O15" s="9" t="s">
        <v>66</v>
      </c>
    </row>
    <row r="16" customFormat="false" ht="30" hidden="false" customHeight="true" outlineLevel="0" collapsed="false">
      <c r="A16" s="2" t="s">
        <v>67</v>
      </c>
      <c r="B16" s="2" t="s">
        <v>16</v>
      </c>
      <c r="C16" s="2" t="s">
        <v>33</v>
      </c>
      <c r="D16" s="2" t="s">
        <v>18</v>
      </c>
      <c r="E16" s="2" t="s">
        <v>34</v>
      </c>
      <c r="F16" s="2" t="s">
        <v>39</v>
      </c>
      <c r="G16" s="2" t="s">
        <v>40</v>
      </c>
      <c r="H16" s="3" t="n">
        <v>45310</v>
      </c>
      <c r="I16" s="3" t="n">
        <v>45312</v>
      </c>
      <c r="J16" s="4" t="n">
        <f aca="true">IFERROR(IF(G16="Open",TODAY()-H16,I16-H16),"—")</f>
        <v>2</v>
      </c>
      <c r="K16" s="2" t="n">
        <v>4</v>
      </c>
      <c r="L16" s="2" t="s">
        <v>29</v>
      </c>
      <c r="M16" s="2" t="s">
        <v>35</v>
      </c>
      <c r="N16" s="2"/>
      <c r="O16" s="5" t="s">
        <v>68</v>
      </c>
    </row>
    <row r="17" customFormat="false" ht="30" hidden="false" customHeight="true" outlineLevel="0" collapsed="false">
      <c r="A17" s="6" t="s">
        <v>69</v>
      </c>
      <c r="B17" s="6" t="s">
        <v>32</v>
      </c>
      <c r="C17" s="6" t="s">
        <v>17</v>
      </c>
      <c r="D17" s="6" t="s">
        <v>38</v>
      </c>
      <c r="E17" s="6" t="s">
        <v>39</v>
      </c>
      <c r="F17" s="6" t="s">
        <v>39</v>
      </c>
      <c r="G17" s="6" t="s">
        <v>28</v>
      </c>
      <c r="H17" s="7" t="n">
        <v>45311</v>
      </c>
      <c r="I17" s="7" t="n">
        <v>45313</v>
      </c>
      <c r="J17" s="8" t="n">
        <f aca="true">IFERROR(IF(G17="Open",TODAY()-H17,I17-H17),"—")</f>
        <v>2</v>
      </c>
      <c r="K17" s="6" t="n">
        <v>2</v>
      </c>
      <c r="L17" s="6" t="s">
        <v>29</v>
      </c>
      <c r="M17" s="6" t="s">
        <v>23</v>
      </c>
      <c r="N17" s="7" t="n">
        <v>45314</v>
      </c>
      <c r="O17" s="9" t="s">
        <v>70</v>
      </c>
    </row>
    <row r="18" customFormat="false" ht="30" hidden="false" customHeight="true" outlineLevel="0" collapsed="false">
      <c r="A18" s="2" t="s">
        <v>71</v>
      </c>
      <c r="B18" s="2" t="s">
        <v>47</v>
      </c>
      <c r="C18" s="2" t="s">
        <v>26</v>
      </c>
      <c r="D18" s="2" t="s">
        <v>27</v>
      </c>
      <c r="E18" s="2" t="s">
        <v>19</v>
      </c>
      <c r="F18" s="2" t="s">
        <v>20</v>
      </c>
      <c r="G18" s="2" t="s">
        <v>21</v>
      </c>
      <c r="H18" s="3" t="n">
        <v>45312</v>
      </c>
      <c r="I18" s="2"/>
      <c r="J18" s="4" t="n">
        <f aca="true">IFERROR(IF(G18="Open",TODAY()-H18,I18-H18),"—")</f>
        <v>880</v>
      </c>
      <c r="K18" s="2" t="n">
        <v>8</v>
      </c>
      <c r="L18" s="2" t="s">
        <v>22</v>
      </c>
      <c r="M18" s="2" t="s">
        <v>44</v>
      </c>
      <c r="N18" s="3" t="n">
        <v>45317</v>
      </c>
      <c r="O18" s="5" t="s">
        <v>72</v>
      </c>
    </row>
    <row r="19" customFormat="false" ht="30" hidden="false" customHeight="true" outlineLevel="0" collapsed="false">
      <c r="A19" s="6" t="s">
        <v>73</v>
      </c>
      <c r="B19" s="6" t="s">
        <v>16</v>
      </c>
      <c r="C19" s="6" t="s">
        <v>43</v>
      </c>
      <c r="D19" s="6" t="s">
        <v>49</v>
      </c>
      <c r="E19" s="6" t="s">
        <v>20</v>
      </c>
      <c r="F19" s="6" t="s">
        <v>20</v>
      </c>
      <c r="G19" s="6" t="s">
        <v>28</v>
      </c>
      <c r="H19" s="7" t="n">
        <v>45313</v>
      </c>
      <c r="I19" s="7" t="n">
        <v>45315</v>
      </c>
      <c r="J19" s="8" t="n">
        <f aca="true">IFERROR(IF(G19="Open",TODAY()-H19,I19-H19),"—")</f>
        <v>2</v>
      </c>
      <c r="K19" s="6" t="n">
        <v>7</v>
      </c>
      <c r="L19" s="6" t="s">
        <v>29</v>
      </c>
      <c r="M19" s="6" t="s">
        <v>23</v>
      </c>
      <c r="N19" s="7" t="n">
        <v>45316</v>
      </c>
      <c r="O19" s="9" t="s">
        <v>74</v>
      </c>
    </row>
    <row r="20" customFormat="false" ht="30" hidden="false" customHeight="true" outlineLevel="0" collapsed="false">
      <c r="A20" s="2" t="s">
        <v>75</v>
      </c>
      <c r="B20" s="2" t="s">
        <v>32</v>
      </c>
      <c r="C20" s="2" t="s">
        <v>33</v>
      </c>
      <c r="D20" s="2" t="s">
        <v>18</v>
      </c>
      <c r="E20" s="2" t="s">
        <v>34</v>
      </c>
      <c r="F20" s="2" t="s">
        <v>34</v>
      </c>
      <c r="G20" s="2" t="s">
        <v>21</v>
      </c>
      <c r="H20" s="3" t="n">
        <v>45314</v>
      </c>
      <c r="I20" s="2"/>
      <c r="J20" s="4" t="n">
        <f aca="true">IFERROR(IF(G20="Open",TODAY()-H20,I20-H20),"—")</f>
        <v>878</v>
      </c>
      <c r="K20" s="2" t="n">
        <v>3</v>
      </c>
      <c r="L20" s="2" t="s">
        <v>22</v>
      </c>
      <c r="M20" s="2" t="s">
        <v>35</v>
      </c>
      <c r="N20" s="3" t="n">
        <v>45319</v>
      </c>
      <c r="O20" s="5" t="s">
        <v>76</v>
      </c>
    </row>
    <row r="21" customFormat="false" ht="30" hidden="false" customHeight="true" outlineLevel="0" collapsed="false">
      <c r="A21" s="6" t="s">
        <v>77</v>
      </c>
      <c r="B21" s="6" t="s">
        <v>47</v>
      </c>
      <c r="C21" s="6" t="s">
        <v>48</v>
      </c>
      <c r="D21" s="6" t="s">
        <v>38</v>
      </c>
      <c r="E21" s="6" t="s">
        <v>39</v>
      </c>
      <c r="F21" s="6" t="s">
        <v>39</v>
      </c>
      <c r="G21" s="6" t="s">
        <v>40</v>
      </c>
      <c r="H21" s="7" t="n">
        <v>45315</v>
      </c>
      <c r="I21" s="7" t="n">
        <v>45316</v>
      </c>
      <c r="J21" s="8" t="n">
        <f aca="true">IFERROR(IF(G21="Open",TODAY()-H21,I21-H21),"—")</f>
        <v>1</v>
      </c>
      <c r="K21" s="6" t="n">
        <v>1</v>
      </c>
      <c r="L21" s="6" t="s">
        <v>29</v>
      </c>
      <c r="M21" s="6" t="s">
        <v>23</v>
      </c>
      <c r="N21" s="6"/>
      <c r="O21" s="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51" activePane="bottomLeft" state="frozen"/>
      <selection pane="topLeft" activeCell="A1" activeCellId="0" sqref="A1"/>
      <selection pane="bottomLeft" activeCell="C63" activeCellId="0" sqref="C6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.11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0" t="s">
        <v>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80</v>
      </c>
      <c r="B2" s="11"/>
      <c r="C2" s="11"/>
      <c r="D2" s="11"/>
      <c r="E2" s="11"/>
      <c r="F2" s="11"/>
    </row>
    <row r="3" customFormat="false" ht="26.25" hidden="false" customHeight="true" outlineLevel="0" collapsed="false">
      <c r="A3" s="1" t="s">
        <v>81</v>
      </c>
      <c r="B3" s="1" t="s">
        <v>1</v>
      </c>
      <c r="C3" s="1" t="s">
        <v>2</v>
      </c>
      <c r="D3" s="1" t="s">
        <v>3</v>
      </c>
      <c r="E3" s="1" t="s">
        <v>4</v>
      </c>
      <c r="F3" s="1"/>
    </row>
    <row r="4" customFormat="false" ht="14.25" hidden="false" customHeight="false" outlineLevel="0" collapsed="false">
      <c r="A4" s="2" t="s">
        <v>15</v>
      </c>
      <c r="B4" s="12" t="str">
        <f aca="false">VLOOKUP(A4,Dataset!$A:$O,2,0)</f>
        <v>Alpha</v>
      </c>
      <c r="C4" s="12" t="str">
        <f aca="false">VLOOKUP(A4,Dataset!$A:$O,3,0)</f>
        <v>Login</v>
      </c>
      <c r="D4" s="12" t="str">
        <f aca="false">VLOOKUP(A4,Dataset!$A:$O,4,0)</f>
        <v>Alice</v>
      </c>
      <c r="E4" s="12" t="str">
        <f aca="false">VLOOKUP(A4,Dataset!$A:$O,5,0)</f>
        <v>Critical</v>
      </c>
      <c r="F4" s="12"/>
    </row>
    <row r="5" customFormat="false" ht="14.25" hidden="false" customHeight="false" outlineLevel="0" collapsed="false">
      <c r="A5" s="6" t="s">
        <v>25</v>
      </c>
      <c r="B5" s="13" t="str">
        <f aca="false">VLOOKUP(A5,Dataset!$A:$O,2,0)</f>
        <v>Alpha</v>
      </c>
      <c r="C5" s="13" t="str">
        <f aca="false">VLOOKUP(A5,Dataset!$A:$O,3,0)</f>
        <v>Dashboard</v>
      </c>
      <c r="D5" s="13" t="str">
        <f aca="false">VLOOKUP(A5,Dataset!$A:$O,4,0)</f>
        <v>Bob</v>
      </c>
      <c r="E5" s="13" t="str">
        <f aca="false">VLOOKUP(A5,Dataset!$A:$O,5,0)</f>
        <v>High</v>
      </c>
      <c r="F5" s="13"/>
    </row>
    <row r="6" customFormat="false" ht="14.25" hidden="false" customHeight="false" outlineLevel="0" collapsed="false">
      <c r="A6" s="2" t="s">
        <v>31</v>
      </c>
      <c r="B6" s="12" t="str">
        <f aca="false">VLOOKUP(A6,Dataset!$A:$O,2,0)</f>
        <v>Beta</v>
      </c>
      <c r="C6" s="12" t="str">
        <f aca="false">VLOOKUP(A6,Dataset!$A:$O,3,0)</f>
        <v>Reports</v>
      </c>
      <c r="D6" s="12" t="str">
        <f aca="false">VLOOKUP(A6,Dataset!$A:$O,4,0)</f>
        <v>Alice</v>
      </c>
      <c r="E6" s="12" t="str">
        <f aca="false">VLOOKUP(A6,Dataset!$A:$O,5,0)</f>
        <v>Medium</v>
      </c>
      <c r="F6" s="12"/>
    </row>
    <row r="7" customFormat="false" ht="14.25" hidden="false" customHeight="false" outlineLevel="0" collapsed="false">
      <c r="A7" s="6" t="s">
        <v>37</v>
      </c>
      <c r="B7" s="13" t="str">
        <f aca="false">VLOOKUP(A7,Dataset!$A:$O,2,0)</f>
        <v>Beta</v>
      </c>
      <c r="C7" s="13" t="str">
        <f aca="false">VLOOKUP(A7,Dataset!$A:$O,3,0)</f>
        <v>Login</v>
      </c>
      <c r="D7" s="13" t="str">
        <f aca="false">VLOOKUP(A7,Dataset!$A:$O,4,0)</f>
        <v>Charlie</v>
      </c>
      <c r="E7" s="13" t="str">
        <f aca="false">VLOOKUP(A7,Dataset!$A:$O,5,0)</f>
        <v>Low</v>
      </c>
      <c r="F7" s="13"/>
    </row>
    <row r="8" customFormat="false" ht="14.25" hidden="false" customHeight="false" outlineLevel="0" collapsed="false">
      <c r="A8" s="2" t="s">
        <v>42</v>
      </c>
      <c r="B8" s="12" t="str">
        <f aca="false">VLOOKUP(A8,Dataset!$A:$O,2,0)</f>
        <v>Alpha</v>
      </c>
      <c r="C8" s="12" t="str">
        <f aca="false">VLOOKUP(A8,Dataset!$A:$O,3,0)</f>
        <v>Payments</v>
      </c>
      <c r="D8" s="12" t="str">
        <f aca="false">VLOOKUP(A8,Dataset!$A:$O,4,0)</f>
        <v>Bob</v>
      </c>
      <c r="E8" s="12" t="str">
        <f aca="false">VLOOKUP(A8,Dataset!$A:$O,5,0)</f>
        <v>Critical</v>
      </c>
      <c r="F8" s="12"/>
    </row>
    <row r="9" customFormat="false" ht="14.25" hidden="false" customHeight="false" outlineLevel="0" collapsed="false">
      <c r="A9" s="6" t="s">
        <v>46</v>
      </c>
      <c r="B9" s="13" t="str">
        <f aca="false">VLOOKUP(A9,Dataset!$A:$O,2,0)</f>
        <v>Gamma</v>
      </c>
      <c r="C9" s="13" t="str">
        <f aca="false">VLOOKUP(A9,Dataset!$A:$O,3,0)</f>
        <v>Search</v>
      </c>
      <c r="D9" s="13" t="str">
        <f aca="false">VLOOKUP(A9,Dataset!$A:$O,4,0)</f>
        <v>Diana</v>
      </c>
      <c r="E9" s="13" t="str">
        <f aca="false">VLOOKUP(A9,Dataset!$A:$O,5,0)</f>
        <v>High</v>
      </c>
      <c r="F9" s="13"/>
    </row>
    <row r="10" customFormat="false" ht="14.25" hidden="false" customHeight="false" outlineLevel="0" collapsed="false">
      <c r="A10" s="2" t="s">
        <v>51</v>
      </c>
      <c r="B10" s="12" t="str">
        <f aca="false">VLOOKUP(A10,Dataset!$A:$O,2,0)</f>
        <v>Gamma</v>
      </c>
      <c r="C10" s="12" t="str">
        <f aca="false">VLOOKUP(A10,Dataset!$A:$O,3,0)</f>
        <v>Reports</v>
      </c>
      <c r="D10" s="12" t="str">
        <f aca="false">VLOOKUP(A10,Dataset!$A:$O,4,0)</f>
        <v>Charlie</v>
      </c>
      <c r="E10" s="12" t="str">
        <f aca="false">VLOOKUP(A10,Dataset!$A:$O,5,0)</f>
        <v>Medium</v>
      </c>
      <c r="F10" s="12"/>
    </row>
    <row r="11" customFormat="false" ht="14.25" hidden="false" customHeight="false" outlineLevel="0" collapsed="false">
      <c r="A11" s="6" t="s">
        <v>53</v>
      </c>
      <c r="B11" s="13" t="str">
        <f aca="false">VLOOKUP(A11,Dataset!$A:$O,2,0)</f>
        <v>Alpha</v>
      </c>
      <c r="C11" s="13" t="str">
        <f aca="false">VLOOKUP(A11,Dataset!$A:$O,3,0)</f>
        <v>Login</v>
      </c>
      <c r="D11" s="13" t="str">
        <f aca="false">VLOOKUP(A11,Dataset!$A:$O,4,0)</f>
        <v>Alice</v>
      </c>
      <c r="E11" s="13" t="str">
        <f aca="false">VLOOKUP(A11,Dataset!$A:$O,5,0)</f>
        <v>Low</v>
      </c>
      <c r="F11" s="13"/>
    </row>
    <row r="12" customFormat="false" ht="14.25" hidden="false" customHeight="false" outlineLevel="0" collapsed="false">
      <c r="A12" s="2" t="s">
        <v>55</v>
      </c>
      <c r="B12" s="12" t="str">
        <f aca="false">VLOOKUP(A12,Dataset!$A:$O,2,0)</f>
        <v>Beta</v>
      </c>
      <c r="C12" s="12" t="str">
        <f aca="false">VLOOKUP(A12,Dataset!$A:$O,3,0)</f>
        <v>Dashboard</v>
      </c>
      <c r="D12" s="12" t="str">
        <f aca="false">VLOOKUP(A12,Dataset!$A:$O,4,0)</f>
        <v>Bob</v>
      </c>
      <c r="E12" s="12" t="str">
        <f aca="false">VLOOKUP(A12,Dataset!$A:$O,5,0)</f>
        <v>Critical</v>
      </c>
      <c r="F12" s="12"/>
    </row>
    <row r="13" customFormat="false" ht="14.25" hidden="false" customHeight="false" outlineLevel="0" collapsed="false">
      <c r="A13" s="6" t="s">
        <v>57</v>
      </c>
      <c r="B13" s="13" t="str">
        <f aca="false">VLOOKUP(A13,Dataset!$A:$O,2,0)</f>
        <v>Beta</v>
      </c>
      <c r="C13" s="13" t="str">
        <f aca="false">VLOOKUP(A13,Dataset!$A:$O,3,0)</f>
        <v>Payments</v>
      </c>
      <c r="D13" s="13" t="str">
        <f aca="false">VLOOKUP(A13,Dataset!$A:$O,4,0)</f>
        <v>Diana</v>
      </c>
      <c r="E13" s="13" t="str">
        <f aca="false">VLOOKUP(A13,Dataset!$A:$O,5,0)</f>
        <v>High</v>
      </c>
      <c r="F13" s="13"/>
    </row>
    <row r="14" customFormat="false" ht="14.25" hidden="false" customHeight="false" outlineLevel="0" collapsed="false">
      <c r="A14" s="2" t="s">
        <v>59</v>
      </c>
      <c r="B14" s="12" t="str">
        <f aca="false">VLOOKUP(A14,Dataset!$A:$O,2,0)</f>
        <v>Gamma</v>
      </c>
      <c r="C14" s="12" t="str">
        <f aca="false">VLOOKUP(A14,Dataset!$A:$O,3,0)</f>
        <v>Login</v>
      </c>
      <c r="D14" s="12" t="str">
        <f aca="false">VLOOKUP(A14,Dataset!$A:$O,4,0)</f>
        <v>Alice</v>
      </c>
      <c r="E14" s="12" t="str">
        <f aca="false">VLOOKUP(A14,Dataset!$A:$O,5,0)</f>
        <v>Medium</v>
      </c>
      <c r="F14" s="12"/>
    </row>
    <row r="15" customFormat="false" ht="14.25" hidden="false" customHeight="false" outlineLevel="0" collapsed="false">
      <c r="A15" s="6" t="s">
        <v>61</v>
      </c>
      <c r="B15" s="13" t="str">
        <f aca="false">VLOOKUP(A15,Dataset!$A:$O,2,0)</f>
        <v>Alpha</v>
      </c>
      <c r="C15" s="13" t="str">
        <f aca="false">VLOOKUP(A15,Dataset!$A:$O,3,0)</f>
        <v>Search</v>
      </c>
      <c r="D15" s="13" t="str">
        <f aca="false">VLOOKUP(A15,Dataset!$A:$O,4,0)</f>
        <v>Charlie</v>
      </c>
      <c r="E15" s="13" t="str">
        <f aca="false">VLOOKUP(A15,Dataset!$A:$O,5,0)</f>
        <v>Low</v>
      </c>
      <c r="F15" s="13"/>
    </row>
    <row r="16" customFormat="false" ht="14.25" hidden="false" customHeight="false" outlineLevel="0" collapsed="false">
      <c r="A16" s="2" t="s">
        <v>63</v>
      </c>
      <c r="B16" s="12" t="str">
        <f aca="false">VLOOKUP(A16,Dataset!$A:$O,2,0)</f>
        <v>Beta</v>
      </c>
      <c r="C16" s="12" t="str">
        <f aca="false">VLOOKUP(A16,Dataset!$A:$O,3,0)</f>
        <v>Search</v>
      </c>
      <c r="D16" s="12" t="str">
        <f aca="false">VLOOKUP(A16,Dataset!$A:$O,4,0)</f>
        <v>Bob</v>
      </c>
      <c r="E16" s="12" t="str">
        <f aca="false">VLOOKUP(A16,Dataset!$A:$O,5,0)</f>
        <v>Critical</v>
      </c>
      <c r="F16" s="12"/>
    </row>
    <row r="17" customFormat="false" ht="14.25" hidden="false" customHeight="false" outlineLevel="0" collapsed="false">
      <c r="A17" s="6" t="s">
        <v>65</v>
      </c>
      <c r="B17" s="13" t="str">
        <f aca="false">VLOOKUP(A17,Dataset!$A:$O,2,0)</f>
        <v>Gamma</v>
      </c>
      <c r="C17" s="13" t="str">
        <f aca="false">VLOOKUP(A17,Dataset!$A:$O,3,0)</f>
        <v>Payments</v>
      </c>
      <c r="D17" s="13" t="str">
        <f aca="false">VLOOKUP(A17,Dataset!$A:$O,4,0)</f>
        <v>Diana</v>
      </c>
      <c r="E17" s="13" t="str">
        <f aca="false">VLOOKUP(A17,Dataset!$A:$O,5,0)</f>
        <v>High</v>
      </c>
      <c r="F17" s="13"/>
    </row>
    <row r="18" customFormat="false" ht="14.25" hidden="false" customHeight="false" outlineLevel="0" collapsed="false">
      <c r="A18" s="2" t="s">
        <v>67</v>
      </c>
      <c r="B18" s="12" t="str">
        <f aca="false">VLOOKUP(A18,Dataset!$A:$O,2,0)</f>
        <v>Alpha</v>
      </c>
      <c r="C18" s="12" t="str">
        <f aca="false">VLOOKUP(A18,Dataset!$A:$O,3,0)</f>
        <v>Reports</v>
      </c>
      <c r="D18" s="12" t="str">
        <f aca="false">VLOOKUP(A18,Dataset!$A:$O,4,0)</f>
        <v>Alice</v>
      </c>
      <c r="E18" s="12" t="str">
        <f aca="false">VLOOKUP(A18,Dataset!$A:$O,5,0)</f>
        <v>Medium</v>
      </c>
      <c r="F18" s="12"/>
    </row>
    <row r="19" customFormat="false" ht="14.25" hidden="false" customHeight="false" outlineLevel="0" collapsed="false">
      <c r="A19" s="6" t="s">
        <v>69</v>
      </c>
      <c r="B19" s="13" t="str">
        <f aca="false">VLOOKUP(A19,Dataset!$A:$O,2,0)</f>
        <v>Beta</v>
      </c>
      <c r="C19" s="13" t="str">
        <f aca="false">VLOOKUP(A19,Dataset!$A:$O,3,0)</f>
        <v>Login</v>
      </c>
      <c r="D19" s="13" t="str">
        <f aca="false">VLOOKUP(A19,Dataset!$A:$O,4,0)</f>
        <v>Charlie</v>
      </c>
      <c r="E19" s="13" t="str">
        <f aca="false">VLOOKUP(A19,Dataset!$A:$O,5,0)</f>
        <v>Low</v>
      </c>
      <c r="F19" s="13"/>
    </row>
    <row r="20" customFormat="false" ht="14.25" hidden="false" customHeight="false" outlineLevel="0" collapsed="false">
      <c r="A20" s="2" t="s">
        <v>71</v>
      </c>
      <c r="B20" s="12" t="str">
        <f aca="false">VLOOKUP(A20,Dataset!$A:$O,2,0)</f>
        <v>Gamma</v>
      </c>
      <c r="C20" s="12" t="str">
        <f aca="false">VLOOKUP(A20,Dataset!$A:$O,3,0)</f>
        <v>Dashboard</v>
      </c>
      <c r="D20" s="12" t="str">
        <f aca="false">VLOOKUP(A20,Dataset!$A:$O,4,0)</f>
        <v>Bob</v>
      </c>
      <c r="E20" s="12" t="str">
        <f aca="false">VLOOKUP(A20,Dataset!$A:$O,5,0)</f>
        <v>Critical</v>
      </c>
      <c r="F20" s="12"/>
    </row>
    <row r="21" customFormat="false" ht="14.25" hidden="false" customHeight="false" outlineLevel="0" collapsed="false">
      <c r="A21" s="6" t="s">
        <v>73</v>
      </c>
      <c r="B21" s="13" t="str">
        <f aca="false">VLOOKUP(A21,Dataset!$A:$O,2,0)</f>
        <v>Alpha</v>
      </c>
      <c r="C21" s="13" t="str">
        <f aca="false">VLOOKUP(A21,Dataset!$A:$O,3,0)</f>
        <v>Payments</v>
      </c>
      <c r="D21" s="13" t="str">
        <f aca="false">VLOOKUP(A21,Dataset!$A:$O,4,0)</f>
        <v>Diana</v>
      </c>
      <c r="E21" s="13" t="str">
        <f aca="false">VLOOKUP(A21,Dataset!$A:$O,5,0)</f>
        <v>High</v>
      </c>
      <c r="F21" s="13"/>
    </row>
    <row r="22" customFormat="false" ht="14.25" hidden="false" customHeight="false" outlineLevel="0" collapsed="false">
      <c r="A22" s="2" t="s">
        <v>75</v>
      </c>
      <c r="B22" s="12" t="str">
        <f aca="false">VLOOKUP(A22,Dataset!$A:$O,2,0)</f>
        <v>Beta</v>
      </c>
      <c r="C22" s="12" t="str">
        <f aca="false">VLOOKUP(A22,Dataset!$A:$O,3,0)</f>
        <v>Reports</v>
      </c>
      <c r="D22" s="12" t="str">
        <f aca="false">VLOOKUP(A22,Dataset!$A:$O,4,0)</f>
        <v>Alice</v>
      </c>
      <c r="E22" s="12" t="str">
        <f aca="false">VLOOKUP(A22,Dataset!$A:$O,5,0)</f>
        <v>Medium</v>
      </c>
      <c r="F22" s="12"/>
    </row>
    <row r="23" customFormat="false" ht="14.25" hidden="false" customHeight="false" outlineLevel="0" collapsed="false">
      <c r="A23" s="6" t="s">
        <v>77</v>
      </c>
      <c r="B23" s="13" t="str">
        <f aca="false">VLOOKUP(A23,Dataset!$A:$O,2,0)</f>
        <v>Gamma</v>
      </c>
      <c r="C23" s="13" t="str">
        <f aca="false">VLOOKUP(A23,Dataset!$A:$O,3,0)</f>
        <v>Search</v>
      </c>
      <c r="D23" s="13" t="str">
        <f aca="false">VLOOKUP(A23,Dataset!$A:$O,4,0)</f>
        <v>Charlie</v>
      </c>
      <c r="E23" s="13" t="str">
        <f aca="false">VLOOKUP(A23,Dataset!$A:$O,5,0)</f>
        <v>Low</v>
      </c>
      <c r="F23" s="13"/>
    </row>
    <row r="25" customFormat="false" ht="21.75" hidden="false" customHeight="true" outlineLevel="0" collapsed="false">
      <c r="A25" s="11" t="s">
        <v>82</v>
      </c>
      <c r="B25" s="11"/>
      <c r="C25" s="11"/>
      <c r="D25" s="11"/>
      <c r="E25" s="11"/>
      <c r="F25" s="11"/>
      <c r="G25" s="11"/>
      <c r="H25" s="11"/>
    </row>
    <row r="26" customFormat="false" ht="14.25" hidden="false" customHeight="false" outlineLevel="0" collapsed="false">
      <c r="A26" s="1" t="s">
        <v>0</v>
      </c>
      <c r="B26" s="1" t="s">
        <v>10</v>
      </c>
      <c r="C26" s="1" t="s">
        <v>11</v>
      </c>
      <c r="D26" s="1" t="s">
        <v>12</v>
      </c>
      <c r="E26" s="1" t="s">
        <v>9</v>
      </c>
      <c r="F26" s="1" t="s">
        <v>83</v>
      </c>
      <c r="G26" s="1" t="s">
        <v>4</v>
      </c>
      <c r="H26" s="1" t="s">
        <v>5</v>
      </c>
    </row>
    <row r="27" customFormat="false" ht="14.25" hidden="false" customHeight="false" outlineLevel="0" collapsed="false">
      <c r="A27" s="2" t="s">
        <v>15</v>
      </c>
      <c r="B27" s="12" t="n">
        <f aca="false">INDEX(Dataset!$K:$K,MATCH(A27,Dataset!$A:$A,0))</f>
        <v>8</v>
      </c>
      <c r="C27" s="12" t="str">
        <f aca="false">INDEX(Dataset!$L:$L,MATCH(A27,Dataset!$A:$A,0))</f>
        <v>Fail</v>
      </c>
      <c r="D27" s="12" t="str">
        <f aca="false">INDEX(Dataset!$M:$M,MATCH(A27,Dataset!$A:$A,0))</f>
        <v>QA</v>
      </c>
      <c r="E27" s="12" t="n">
        <f aca="false">INDEX(Dataset!$J:$J,MATCH(A27,Dataset!$A:$A,0))</f>
        <v>896</v>
      </c>
      <c r="F27" s="14" t="str">
        <f aca="false">INDEX(Dataset!$D:$D,MATCH(A27,Dataset!$A:$A,0))</f>
        <v>Alice</v>
      </c>
      <c r="G27" s="14" t="str">
        <f aca="false">INDEX(Dataset!$E:$E,MATCH(A27,Dataset!$A:$A,0))</f>
        <v>Critical</v>
      </c>
      <c r="H27" s="14" t="str">
        <f aca="false">INDEX(Dataset!$F:$F,MATCH(A27,Dataset!$A:$A,0))</f>
        <v>High</v>
      </c>
    </row>
    <row r="28" customFormat="false" ht="14.25" hidden="false" customHeight="false" outlineLevel="0" collapsed="false">
      <c r="A28" s="6" t="s">
        <v>25</v>
      </c>
      <c r="B28" s="13" t="n">
        <f aca="false">INDEX(Dataset!$K:$K,MATCH(A28,Dataset!$A:$A,0))</f>
        <v>5</v>
      </c>
      <c r="C28" s="13" t="str">
        <f aca="false">INDEX(Dataset!$L:$L,MATCH(A28,Dataset!$A:$A,0))</f>
        <v>Pass</v>
      </c>
      <c r="D28" s="13" t="str">
        <f aca="false">INDEX(Dataset!$M:$M,MATCH(A28,Dataset!$A:$A,0))</f>
        <v>QA</v>
      </c>
      <c r="E28" s="13" t="n">
        <f aca="false">INDEX(Dataset!$J:$J,MATCH(A28,Dataset!$A:$A,0))</f>
        <v>2</v>
      </c>
      <c r="F28" s="15" t="str">
        <f aca="false">INDEX(Dataset!$D:$D,MATCH(A28,Dataset!$A:$A,0))</f>
        <v>Bob</v>
      </c>
      <c r="G28" s="15" t="str">
        <f aca="false">INDEX(Dataset!$E:$E,MATCH(A28,Dataset!$A:$A,0))</f>
        <v>High</v>
      </c>
      <c r="H28" s="15" t="str">
        <f aca="false">INDEX(Dataset!$F:$F,MATCH(A28,Dataset!$A:$A,0))</f>
        <v>High</v>
      </c>
    </row>
    <row r="29" customFormat="false" ht="14.25" hidden="false" customHeight="false" outlineLevel="0" collapsed="false">
      <c r="A29" s="2" t="s">
        <v>31</v>
      </c>
      <c r="B29" s="12" t="n">
        <f aca="false">INDEX(Dataset!$K:$K,MATCH(A29,Dataset!$A:$A,0))</f>
        <v>3</v>
      </c>
      <c r="C29" s="12" t="str">
        <f aca="false">INDEX(Dataset!$L:$L,MATCH(A29,Dataset!$A:$A,0))</f>
        <v>Fail</v>
      </c>
      <c r="D29" s="12" t="str">
        <f aca="false">INDEX(Dataset!$M:$M,MATCH(A29,Dataset!$A:$A,0))</f>
        <v>Staging</v>
      </c>
      <c r="E29" s="12" t="n">
        <f aca="false">INDEX(Dataset!$J:$J,MATCH(A29,Dataset!$A:$A,0))</f>
        <v>894</v>
      </c>
      <c r="F29" s="14" t="str">
        <f aca="false">INDEX(Dataset!$D:$D,MATCH(A29,Dataset!$A:$A,0))</f>
        <v>Alice</v>
      </c>
      <c r="G29" s="14" t="str">
        <f aca="false">INDEX(Dataset!$E:$E,MATCH(A29,Dataset!$A:$A,0))</f>
        <v>Medium</v>
      </c>
      <c r="H29" s="14" t="str">
        <f aca="false">INDEX(Dataset!$F:$F,MATCH(A29,Dataset!$A:$A,0))</f>
        <v>Medium</v>
      </c>
    </row>
    <row r="30" customFormat="false" ht="14.25" hidden="false" customHeight="false" outlineLevel="0" collapsed="false">
      <c r="A30" s="6" t="s">
        <v>37</v>
      </c>
      <c r="B30" s="13" t="n">
        <f aca="false">INDEX(Dataset!$K:$K,MATCH(A30,Dataset!$A:$A,0))</f>
        <v>2</v>
      </c>
      <c r="C30" s="13" t="str">
        <f aca="false">INDEX(Dataset!$L:$L,MATCH(A30,Dataset!$A:$A,0))</f>
        <v>Pass</v>
      </c>
      <c r="D30" s="13" t="str">
        <f aca="false">INDEX(Dataset!$M:$M,MATCH(A30,Dataset!$A:$A,0))</f>
        <v>QA</v>
      </c>
      <c r="E30" s="13" t="n">
        <f aca="false">INDEX(Dataset!$J:$J,MATCH(A30,Dataset!$A:$A,0))</f>
        <v>1</v>
      </c>
      <c r="F30" s="15" t="str">
        <f aca="false">INDEX(Dataset!$D:$D,MATCH(A30,Dataset!$A:$A,0))</f>
        <v>Charlie</v>
      </c>
      <c r="G30" s="15" t="str">
        <f aca="false">INDEX(Dataset!$E:$E,MATCH(A30,Dataset!$A:$A,0))</f>
        <v>Low</v>
      </c>
      <c r="H30" s="15" t="str">
        <f aca="false">INDEX(Dataset!$F:$F,MATCH(A30,Dataset!$A:$A,0))</f>
        <v>Low</v>
      </c>
    </row>
    <row r="31" customFormat="false" ht="14.25" hidden="false" customHeight="false" outlineLevel="0" collapsed="false">
      <c r="A31" s="2" t="s">
        <v>42</v>
      </c>
      <c r="B31" s="12" t="n">
        <f aca="false">INDEX(Dataset!$K:$K,MATCH(A31,Dataset!$A:$A,0))</f>
        <v>10</v>
      </c>
      <c r="C31" s="12" t="str">
        <f aca="false">INDEX(Dataset!$L:$L,MATCH(A31,Dataset!$A:$A,0))</f>
        <v>Pass</v>
      </c>
      <c r="D31" s="12" t="str">
        <f aca="false">INDEX(Dataset!$M:$M,MATCH(A31,Dataset!$A:$A,0))</f>
        <v>Production</v>
      </c>
      <c r="E31" s="12" t="n">
        <f aca="false">INDEX(Dataset!$J:$J,MATCH(A31,Dataset!$A:$A,0))</f>
        <v>2</v>
      </c>
      <c r="F31" s="14" t="str">
        <f aca="false">INDEX(Dataset!$D:$D,MATCH(A31,Dataset!$A:$A,0))</f>
        <v>Bob</v>
      </c>
      <c r="G31" s="14" t="str">
        <f aca="false">INDEX(Dataset!$E:$E,MATCH(A31,Dataset!$A:$A,0))</f>
        <v>Critical</v>
      </c>
      <c r="H31" s="14" t="str">
        <f aca="false">INDEX(Dataset!$F:$F,MATCH(A31,Dataset!$A:$A,0))</f>
        <v>High</v>
      </c>
    </row>
    <row r="32" customFormat="false" ht="14.25" hidden="false" customHeight="false" outlineLevel="0" collapsed="false">
      <c r="A32" s="6" t="s">
        <v>46</v>
      </c>
      <c r="B32" s="13" t="n">
        <f aca="false">INDEX(Dataset!$K:$K,MATCH(A32,Dataset!$A:$A,0))</f>
        <v>4</v>
      </c>
      <c r="C32" s="13" t="str">
        <f aca="false">INDEX(Dataset!$L:$L,MATCH(A32,Dataset!$A:$A,0))</f>
        <v>Fail</v>
      </c>
      <c r="D32" s="13" t="str">
        <f aca="false">INDEX(Dataset!$M:$M,MATCH(A32,Dataset!$A:$A,0))</f>
        <v>QA</v>
      </c>
      <c r="E32" s="13" t="n">
        <f aca="false">INDEX(Dataset!$J:$J,MATCH(A32,Dataset!$A:$A,0))</f>
        <v>891</v>
      </c>
      <c r="F32" s="15" t="str">
        <f aca="false">INDEX(Dataset!$D:$D,MATCH(A32,Dataset!$A:$A,0))</f>
        <v>Diana</v>
      </c>
      <c r="G32" s="15" t="str">
        <f aca="false">INDEX(Dataset!$E:$E,MATCH(A32,Dataset!$A:$A,0))</f>
        <v>High</v>
      </c>
      <c r="H32" s="15" t="str">
        <f aca="false">INDEX(Dataset!$F:$F,MATCH(A32,Dataset!$A:$A,0))</f>
        <v>Medium</v>
      </c>
    </row>
    <row r="33" customFormat="false" ht="14.25" hidden="false" customHeight="false" outlineLevel="0" collapsed="false">
      <c r="A33" s="2" t="s">
        <v>51</v>
      </c>
      <c r="B33" s="12" t="n">
        <f aca="false">INDEX(Dataset!$K:$K,MATCH(A33,Dataset!$A:$A,0))</f>
        <v>3</v>
      </c>
      <c r="C33" s="12" t="str">
        <f aca="false">INDEX(Dataset!$L:$L,MATCH(A33,Dataset!$A:$A,0))</f>
        <v>Pass</v>
      </c>
      <c r="D33" s="12" t="str">
        <f aca="false">INDEX(Dataset!$M:$M,MATCH(A33,Dataset!$A:$A,0))</f>
        <v>Staging</v>
      </c>
      <c r="E33" s="12" t="n">
        <f aca="false">INDEX(Dataset!$J:$J,MATCH(A33,Dataset!$A:$A,0))</f>
        <v>2</v>
      </c>
      <c r="F33" s="14" t="str">
        <f aca="false">INDEX(Dataset!$D:$D,MATCH(A33,Dataset!$A:$A,0))</f>
        <v>Charlie</v>
      </c>
      <c r="G33" s="14" t="str">
        <f aca="false">INDEX(Dataset!$E:$E,MATCH(A33,Dataset!$A:$A,0))</f>
        <v>Medium</v>
      </c>
      <c r="H33" s="14" t="str">
        <f aca="false">INDEX(Dataset!$F:$F,MATCH(A33,Dataset!$A:$A,0))</f>
        <v>Low</v>
      </c>
    </row>
    <row r="34" customFormat="false" ht="14.25" hidden="false" customHeight="false" outlineLevel="0" collapsed="false">
      <c r="A34" s="6" t="s">
        <v>53</v>
      </c>
      <c r="B34" s="13" t="n">
        <f aca="false">INDEX(Dataset!$K:$K,MATCH(A34,Dataset!$A:$A,0))</f>
        <v>2</v>
      </c>
      <c r="C34" s="13" t="str">
        <f aca="false">INDEX(Dataset!$L:$L,MATCH(A34,Dataset!$A:$A,0))</f>
        <v>Pass</v>
      </c>
      <c r="D34" s="13" t="str">
        <f aca="false">INDEX(Dataset!$M:$M,MATCH(A34,Dataset!$A:$A,0))</f>
        <v>QA</v>
      </c>
      <c r="E34" s="13" t="n">
        <f aca="false">INDEX(Dataset!$J:$J,MATCH(A34,Dataset!$A:$A,0))</f>
        <v>2</v>
      </c>
      <c r="F34" s="15" t="str">
        <f aca="false">INDEX(Dataset!$D:$D,MATCH(A34,Dataset!$A:$A,0))</f>
        <v>Alice</v>
      </c>
      <c r="G34" s="15" t="str">
        <f aca="false">INDEX(Dataset!$E:$E,MATCH(A34,Dataset!$A:$A,0))</f>
        <v>Low</v>
      </c>
      <c r="H34" s="15" t="str">
        <f aca="false">INDEX(Dataset!$F:$F,MATCH(A34,Dataset!$A:$A,0))</f>
        <v>Low</v>
      </c>
    </row>
    <row r="35" customFormat="false" ht="14.25" hidden="false" customHeight="false" outlineLevel="0" collapsed="false">
      <c r="A35" s="2" t="s">
        <v>55</v>
      </c>
      <c r="B35" s="12" t="n">
        <f aca="false">INDEX(Dataset!$K:$K,MATCH(A35,Dataset!$A:$A,0))</f>
        <v>7</v>
      </c>
      <c r="C35" s="12" t="str">
        <f aca="false">INDEX(Dataset!$L:$L,MATCH(A35,Dataset!$A:$A,0))</f>
        <v>Fail</v>
      </c>
      <c r="D35" s="12" t="str">
        <f aca="false">INDEX(Dataset!$M:$M,MATCH(A35,Dataset!$A:$A,0))</f>
        <v>Production</v>
      </c>
      <c r="E35" s="12" t="n">
        <f aca="false">INDEX(Dataset!$J:$J,MATCH(A35,Dataset!$A:$A,0))</f>
        <v>888</v>
      </c>
      <c r="F35" s="14" t="str">
        <f aca="false">INDEX(Dataset!$D:$D,MATCH(A35,Dataset!$A:$A,0))</f>
        <v>Bob</v>
      </c>
      <c r="G35" s="14" t="str">
        <f aca="false">INDEX(Dataset!$E:$E,MATCH(A35,Dataset!$A:$A,0))</f>
        <v>Critical</v>
      </c>
      <c r="H35" s="14" t="str">
        <f aca="false">INDEX(Dataset!$F:$F,MATCH(A35,Dataset!$A:$A,0))</f>
        <v>High</v>
      </c>
    </row>
    <row r="36" customFormat="false" ht="14.25" hidden="false" customHeight="false" outlineLevel="0" collapsed="false">
      <c r="A36" s="6" t="s">
        <v>57</v>
      </c>
      <c r="B36" s="13" t="n">
        <f aca="false">INDEX(Dataset!$K:$K,MATCH(A36,Dataset!$A:$A,0))</f>
        <v>6</v>
      </c>
      <c r="C36" s="13" t="str">
        <f aca="false">INDEX(Dataset!$L:$L,MATCH(A36,Dataset!$A:$A,0))</f>
        <v>Pass</v>
      </c>
      <c r="D36" s="13" t="str">
        <f aca="false">INDEX(Dataset!$M:$M,MATCH(A36,Dataset!$A:$A,0))</f>
        <v>QA</v>
      </c>
      <c r="E36" s="13" t="n">
        <f aca="false">INDEX(Dataset!$J:$J,MATCH(A36,Dataset!$A:$A,0))</f>
        <v>2</v>
      </c>
      <c r="F36" s="15" t="str">
        <f aca="false">INDEX(Dataset!$D:$D,MATCH(A36,Dataset!$A:$A,0))</f>
        <v>Diana</v>
      </c>
      <c r="G36" s="15" t="str">
        <f aca="false">INDEX(Dataset!$E:$E,MATCH(A36,Dataset!$A:$A,0))</f>
        <v>High</v>
      </c>
      <c r="H36" s="15" t="str">
        <f aca="false">INDEX(Dataset!$F:$F,MATCH(A36,Dataset!$A:$A,0))</f>
        <v>High</v>
      </c>
    </row>
    <row r="37" customFormat="false" ht="14.25" hidden="false" customHeight="false" outlineLevel="0" collapsed="false">
      <c r="A37" s="2" t="s">
        <v>59</v>
      </c>
      <c r="B37" s="12" t="n">
        <f aca="false">INDEX(Dataset!$K:$K,MATCH(A37,Dataset!$A:$A,0))</f>
        <v>3</v>
      </c>
      <c r="C37" s="12" t="str">
        <f aca="false">INDEX(Dataset!$L:$L,MATCH(A37,Dataset!$A:$A,0))</f>
        <v>Fail</v>
      </c>
      <c r="D37" s="12" t="str">
        <f aca="false">INDEX(Dataset!$M:$M,MATCH(A37,Dataset!$A:$A,0))</f>
        <v>Staging</v>
      </c>
      <c r="E37" s="12" t="n">
        <f aca="false">INDEX(Dataset!$J:$J,MATCH(A37,Dataset!$A:$A,0))</f>
        <v>886</v>
      </c>
      <c r="F37" s="14" t="str">
        <f aca="false">INDEX(Dataset!$D:$D,MATCH(A37,Dataset!$A:$A,0))</f>
        <v>Alice</v>
      </c>
      <c r="G37" s="14" t="str">
        <f aca="false">INDEX(Dataset!$E:$E,MATCH(A37,Dataset!$A:$A,0))</f>
        <v>Medium</v>
      </c>
      <c r="H37" s="14" t="str">
        <f aca="false">INDEX(Dataset!$F:$F,MATCH(A37,Dataset!$A:$A,0))</f>
        <v>Medium</v>
      </c>
    </row>
    <row r="38" customFormat="false" ht="14.25" hidden="false" customHeight="false" outlineLevel="0" collapsed="false">
      <c r="A38" s="6" t="s">
        <v>61</v>
      </c>
      <c r="B38" s="13" t="n">
        <f aca="false">INDEX(Dataset!$K:$K,MATCH(A38,Dataset!$A:$A,0))</f>
        <v>1</v>
      </c>
      <c r="C38" s="13" t="str">
        <f aca="false">INDEX(Dataset!$L:$L,MATCH(A38,Dataset!$A:$A,0))</f>
        <v>Pass</v>
      </c>
      <c r="D38" s="13" t="str">
        <f aca="false">INDEX(Dataset!$M:$M,MATCH(A38,Dataset!$A:$A,0))</f>
        <v>QA</v>
      </c>
      <c r="E38" s="13" t="n">
        <f aca="false">INDEX(Dataset!$J:$J,MATCH(A38,Dataset!$A:$A,0))</f>
        <v>1</v>
      </c>
      <c r="F38" s="15" t="str">
        <f aca="false">INDEX(Dataset!$D:$D,MATCH(A38,Dataset!$A:$A,0))</f>
        <v>Charlie</v>
      </c>
      <c r="G38" s="15" t="str">
        <f aca="false">INDEX(Dataset!$E:$E,MATCH(A38,Dataset!$A:$A,0))</f>
        <v>Low</v>
      </c>
      <c r="H38" s="15" t="str">
        <f aca="false">INDEX(Dataset!$F:$F,MATCH(A38,Dataset!$A:$A,0))</f>
        <v>Low</v>
      </c>
    </row>
    <row r="39" customFormat="false" ht="14.25" hidden="false" customHeight="false" outlineLevel="0" collapsed="false">
      <c r="A39" s="2" t="s">
        <v>63</v>
      </c>
      <c r="B39" s="12" t="n">
        <f aca="false">INDEX(Dataset!$K:$K,MATCH(A39,Dataset!$A:$A,0))</f>
        <v>9</v>
      </c>
      <c r="C39" s="12" t="str">
        <f aca="false">INDEX(Dataset!$L:$L,MATCH(A39,Dataset!$A:$A,0))</f>
        <v>Pass</v>
      </c>
      <c r="D39" s="12" t="str">
        <f aca="false">INDEX(Dataset!$M:$M,MATCH(A39,Dataset!$A:$A,0))</f>
        <v>Production</v>
      </c>
      <c r="E39" s="12" t="n">
        <f aca="false">INDEX(Dataset!$J:$J,MATCH(A39,Dataset!$A:$A,0))</f>
        <v>2</v>
      </c>
      <c r="F39" s="14" t="str">
        <f aca="false">INDEX(Dataset!$D:$D,MATCH(A39,Dataset!$A:$A,0))</f>
        <v>Bob</v>
      </c>
      <c r="G39" s="14" t="str">
        <f aca="false">INDEX(Dataset!$E:$E,MATCH(A39,Dataset!$A:$A,0))</f>
        <v>Critical</v>
      </c>
      <c r="H39" s="14" t="str">
        <f aca="false">INDEX(Dataset!$F:$F,MATCH(A39,Dataset!$A:$A,0))</f>
        <v>High</v>
      </c>
    </row>
    <row r="40" customFormat="false" ht="14.25" hidden="false" customHeight="false" outlineLevel="0" collapsed="false">
      <c r="A40" s="6" t="s">
        <v>65</v>
      </c>
      <c r="B40" s="13" t="n">
        <f aca="false">INDEX(Dataset!$K:$K,MATCH(A40,Dataset!$A:$A,0))</f>
        <v>5</v>
      </c>
      <c r="C40" s="13" t="str">
        <f aca="false">INDEX(Dataset!$L:$L,MATCH(A40,Dataset!$A:$A,0))</f>
        <v>Fail</v>
      </c>
      <c r="D40" s="13" t="str">
        <f aca="false">INDEX(Dataset!$M:$M,MATCH(A40,Dataset!$A:$A,0))</f>
        <v>QA</v>
      </c>
      <c r="E40" s="13" t="n">
        <f aca="false">INDEX(Dataset!$J:$J,MATCH(A40,Dataset!$A:$A,0))</f>
        <v>883</v>
      </c>
      <c r="F40" s="15" t="str">
        <f aca="false">INDEX(Dataset!$D:$D,MATCH(A40,Dataset!$A:$A,0))</f>
        <v>Diana</v>
      </c>
      <c r="G40" s="15" t="str">
        <f aca="false">INDEX(Dataset!$E:$E,MATCH(A40,Dataset!$A:$A,0))</f>
        <v>High</v>
      </c>
      <c r="H40" s="15" t="str">
        <f aca="false">INDEX(Dataset!$F:$F,MATCH(A40,Dataset!$A:$A,0))</f>
        <v>Medium</v>
      </c>
    </row>
    <row r="41" customFormat="false" ht="14.25" hidden="false" customHeight="false" outlineLevel="0" collapsed="false">
      <c r="A41" s="2" t="s">
        <v>67</v>
      </c>
      <c r="B41" s="12" t="n">
        <f aca="false">INDEX(Dataset!$K:$K,MATCH(A41,Dataset!$A:$A,0))</f>
        <v>4</v>
      </c>
      <c r="C41" s="12" t="str">
        <f aca="false">INDEX(Dataset!$L:$L,MATCH(A41,Dataset!$A:$A,0))</f>
        <v>Pass</v>
      </c>
      <c r="D41" s="12" t="str">
        <f aca="false">INDEX(Dataset!$M:$M,MATCH(A41,Dataset!$A:$A,0))</f>
        <v>Staging</v>
      </c>
      <c r="E41" s="12" t="n">
        <f aca="false">INDEX(Dataset!$J:$J,MATCH(A41,Dataset!$A:$A,0))</f>
        <v>2</v>
      </c>
      <c r="F41" s="14" t="str">
        <f aca="false">INDEX(Dataset!$D:$D,MATCH(A41,Dataset!$A:$A,0))</f>
        <v>Alice</v>
      </c>
      <c r="G41" s="14" t="str">
        <f aca="false">INDEX(Dataset!$E:$E,MATCH(A41,Dataset!$A:$A,0))</f>
        <v>Medium</v>
      </c>
      <c r="H41" s="14" t="str">
        <f aca="false">INDEX(Dataset!$F:$F,MATCH(A41,Dataset!$A:$A,0))</f>
        <v>Low</v>
      </c>
    </row>
    <row r="42" customFormat="false" ht="14.25" hidden="false" customHeight="false" outlineLevel="0" collapsed="false">
      <c r="A42" s="6" t="s">
        <v>69</v>
      </c>
      <c r="B42" s="13" t="n">
        <f aca="false">INDEX(Dataset!$K:$K,MATCH(A42,Dataset!$A:$A,0))</f>
        <v>2</v>
      </c>
      <c r="C42" s="13" t="str">
        <f aca="false">INDEX(Dataset!$L:$L,MATCH(A42,Dataset!$A:$A,0))</f>
        <v>Pass</v>
      </c>
      <c r="D42" s="13" t="str">
        <f aca="false">INDEX(Dataset!$M:$M,MATCH(A42,Dataset!$A:$A,0))</f>
        <v>QA</v>
      </c>
      <c r="E42" s="13" t="n">
        <f aca="false">INDEX(Dataset!$J:$J,MATCH(A42,Dataset!$A:$A,0))</f>
        <v>2</v>
      </c>
      <c r="F42" s="15" t="str">
        <f aca="false">INDEX(Dataset!$D:$D,MATCH(A42,Dataset!$A:$A,0))</f>
        <v>Charlie</v>
      </c>
      <c r="G42" s="15" t="str">
        <f aca="false">INDEX(Dataset!$E:$E,MATCH(A42,Dataset!$A:$A,0))</f>
        <v>Low</v>
      </c>
      <c r="H42" s="15" t="str">
        <f aca="false">INDEX(Dataset!$F:$F,MATCH(A42,Dataset!$A:$A,0))</f>
        <v>Low</v>
      </c>
    </row>
    <row r="43" customFormat="false" ht="14.25" hidden="false" customHeight="false" outlineLevel="0" collapsed="false">
      <c r="A43" s="2" t="s">
        <v>71</v>
      </c>
      <c r="B43" s="12" t="n">
        <f aca="false">INDEX(Dataset!$K:$K,MATCH(A43,Dataset!$A:$A,0))</f>
        <v>8</v>
      </c>
      <c r="C43" s="12" t="str">
        <f aca="false">INDEX(Dataset!$L:$L,MATCH(A43,Dataset!$A:$A,0))</f>
        <v>Fail</v>
      </c>
      <c r="D43" s="12" t="str">
        <f aca="false">INDEX(Dataset!$M:$M,MATCH(A43,Dataset!$A:$A,0))</f>
        <v>Production</v>
      </c>
      <c r="E43" s="12" t="n">
        <f aca="false">INDEX(Dataset!$J:$J,MATCH(A43,Dataset!$A:$A,0))</f>
        <v>880</v>
      </c>
      <c r="F43" s="14" t="str">
        <f aca="false">INDEX(Dataset!$D:$D,MATCH(A43,Dataset!$A:$A,0))</f>
        <v>Bob</v>
      </c>
      <c r="G43" s="14" t="str">
        <f aca="false">INDEX(Dataset!$E:$E,MATCH(A43,Dataset!$A:$A,0))</f>
        <v>Critical</v>
      </c>
      <c r="H43" s="14" t="str">
        <f aca="false">INDEX(Dataset!$F:$F,MATCH(A43,Dataset!$A:$A,0))</f>
        <v>High</v>
      </c>
    </row>
    <row r="44" customFormat="false" ht="14.25" hidden="false" customHeight="false" outlineLevel="0" collapsed="false">
      <c r="A44" s="6" t="s">
        <v>73</v>
      </c>
      <c r="B44" s="13" t="n">
        <f aca="false">INDEX(Dataset!$K:$K,MATCH(A44,Dataset!$A:$A,0))</f>
        <v>7</v>
      </c>
      <c r="C44" s="13" t="str">
        <f aca="false">INDEX(Dataset!$L:$L,MATCH(A44,Dataset!$A:$A,0))</f>
        <v>Pass</v>
      </c>
      <c r="D44" s="13" t="str">
        <f aca="false">INDEX(Dataset!$M:$M,MATCH(A44,Dataset!$A:$A,0))</f>
        <v>QA</v>
      </c>
      <c r="E44" s="13" t="n">
        <f aca="false">INDEX(Dataset!$J:$J,MATCH(A44,Dataset!$A:$A,0))</f>
        <v>2</v>
      </c>
      <c r="F44" s="15" t="str">
        <f aca="false">INDEX(Dataset!$D:$D,MATCH(A44,Dataset!$A:$A,0))</f>
        <v>Diana</v>
      </c>
      <c r="G44" s="15" t="str">
        <f aca="false">INDEX(Dataset!$E:$E,MATCH(A44,Dataset!$A:$A,0))</f>
        <v>High</v>
      </c>
      <c r="H44" s="15" t="str">
        <f aca="false">INDEX(Dataset!$F:$F,MATCH(A44,Dataset!$A:$A,0))</f>
        <v>High</v>
      </c>
    </row>
    <row r="45" customFormat="false" ht="14.25" hidden="false" customHeight="false" outlineLevel="0" collapsed="false">
      <c r="A45" s="2" t="s">
        <v>75</v>
      </c>
      <c r="B45" s="12" t="n">
        <f aca="false">INDEX(Dataset!$K:$K,MATCH(A45,Dataset!$A:$A,0))</f>
        <v>3</v>
      </c>
      <c r="C45" s="12" t="str">
        <f aca="false">INDEX(Dataset!$L:$L,MATCH(A45,Dataset!$A:$A,0))</f>
        <v>Fail</v>
      </c>
      <c r="D45" s="12" t="str">
        <f aca="false">INDEX(Dataset!$M:$M,MATCH(A45,Dataset!$A:$A,0))</f>
        <v>Staging</v>
      </c>
      <c r="E45" s="12" t="n">
        <f aca="false">INDEX(Dataset!$J:$J,MATCH(A45,Dataset!$A:$A,0))</f>
        <v>878</v>
      </c>
      <c r="F45" s="14" t="str">
        <f aca="false">INDEX(Dataset!$D:$D,MATCH(A45,Dataset!$A:$A,0))</f>
        <v>Alice</v>
      </c>
      <c r="G45" s="14" t="str">
        <f aca="false">INDEX(Dataset!$E:$E,MATCH(A45,Dataset!$A:$A,0))</f>
        <v>Medium</v>
      </c>
      <c r="H45" s="14" t="str">
        <f aca="false">INDEX(Dataset!$F:$F,MATCH(A45,Dataset!$A:$A,0))</f>
        <v>Medium</v>
      </c>
    </row>
    <row r="46" customFormat="false" ht="14.25" hidden="false" customHeight="false" outlineLevel="0" collapsed="false">
      <c r="A46" s="6" t="s">
        <v>77</v>
      </c>
      <c r="B46" s="13" t="n">
        <f aca="false">INDEX(Dataset!$K:$K,MATCH(A46,Dataset!$A:$A,0))</f>
        <v>1</v>
      </c>
      <c r="C46" s="13" t="str">
        <f aca="false">INDEX(Dataset!$L:$L,MATCH(A46,Dataset!$A:$A,0))</f>
        <v>Pass</v>
      </c>
      <c r="D46" s="13" t="str">
        <f aca="false">INDEX(Dataset!$M:$M,MATCH(A46,Dataset!$A:$A,0))</f>
        <v>QA</v>
      </c>
      <c r="E46" s="13" t="n">
        <f aca="false">INDEX(Dataset!$J:$J,MATCH(A46,Dataset!$A:$A,0))</f>
        <v>1</v>
      </c>
      <c r="F46" s="15" t="str">
        <f aca="false">INDEX(Dataset!$D:$D,MATCH(A46,Dataset!$A:$A,0))</f>
        <v>Charlie</v>
      </c>
      <c r="G46" s="15" t="str">
        <f aca="false">INDEX(Dataset!$E:$E,MATCH(A46,Dataset!$A:$A,0))</f>
        <v>Low</v>
      </c>
      <c r="H46" s="15" t="str">
        <f aca="false">INDEX(Dataset!$F:$F,MATCH(A46,Dataset!$A:$A,0))</f>
        <v>Low</v>
      </c>
    </row>
    <row r="48" customFormat="false" ht="21.75" hidden="false" customHeight="true" outlineLevel="0" collapsed="false">
      <c r="A48" s="11" t="s">
        <v>84</v>
      </c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26.25" hidden="false" customHeight="true" outlineLevel="0" collapsed="false">
      <c r="A49" s="1" t="s">
        <v>0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</row>
    <row r="50" customFormat="false" ht="14.25" hidden="false" customHeight="false" outlineLevel="0" collapsed="false">
      <c r="A50" s="2" t="s">
        <v>15</v>
      </c>
      <c r="B50" s="2" t="n">
        <v>2</v>
      </c>
      <c r="C50" s="16" t="str">
        <f aca="true">OFFSET(Dataset!$A$1,B50-1,2)</f>
        <v>Login</v>
      </c>
      <c r="D50" s="16" t="str">
        <f aca="true">OFFSET(Dataset!$A$1,B50-1,4)</f>
        <v>Critical</v>
      </c>
      <c r="E50" s="16" t="n">
        <f aca="true">OFFSET(Dataset!$A$1,B50-1,10)</f>
        <v>8</v>
      </c>
      <c r="F50" s="16" t="str">
        <f aca="true">OFFSET(Dataset!$A$1,B50-1,6)</f>
        <v>Open</v>
      </c>
    </row>
    <row r="51" customFormat="false" ht="14.25" hidden="false" customHeight="false" outlineLevel="0" collapsed="false">
      <c r="A51" s="6" t="s">
        <v>25</v>
      </c>
      <c r="B51" s="6" t="n">
        <v>3</v>
      </c>
      <c r="C51" s="17" t="str">
        <f aca="true">OFFSET(Dataset!$A$1,B51-1,2)</f>
        <v>Dashboard</v>
      </c>
      <c r="D51" s="17" t="str">
        <f aca="true">OFFSET(Dataset!$A$1,B51-1,4)</f>
        <v>High</v>
      </c>
      <c r="E51" s="17" t="n">
        <f aca="true">OFFSET(Dataset!$A$1,B51-1,10)</f>
        <v>5</v>
      </c>
      <c r="F51" s="17" t="str">
        <f aca="true">OFFSET(Dataset!$A$1,B51-1,6)</f>
        <v>Resolved</v>
      </c>
    </row>
    <row r="52" customFormat="false" ht="14.25" hidden="false" customHeight="false" outlineLevel="0" collapsed="false">
      <c r="A52" s="2" t="s">
        <v>31</v>
      </c>
      <c r="B52" s="2" t="n">
        <v>4</v>
      </c>
      <c r="C52" s="16" t="str">
        <f aca="true">OFFSET(Dataset!$A$1,B52-1,2)</f>
        <v>Reports</v>
      </c>
      <c r="D52" s="16" t="str">
        <f aca="true">OFFSET(Dataset!$A$1,B52-1,4)</f>
        <v>Medium</v>
      </c>
      <c r="E52" s="16" t="n">
        <f aca="true">OFFSET(Dataset!$A$1,B52-1,10)</f>
        <v>3</v>
      </c>
      <c r="F52" s="16" t="str">
        <f aca="true">OFFSET(Dataset!$A$1,B52-1,6)</f>
        <v>Open</v>
      </c>
    </row>
    <row r="53" customFormat="false" ht="14.25" hidden="false" customHeight="false" outlineLevel="0" collapsed="false">
      <c r="A53" s="6" t="s">
        <v>37</v>
      </c>
      <c r="B53" s="6" t="n">
        <v>5</v>
      </c>
      <c r="C53" s="17" t="str">
        <f aca="true">OFFSET(Dataset!$A$1,B53-1,2)</f>
        <v>Login</v>
      </c>
      <c r="D53" s="17" t="str">
        <f aca="true">OFFSET(Dataset!$A$1,B53-1,4)</f>
        <v>Low</v>
      </c>
      <c r="E53" s="17" t="n">
        <f aca="true">OFFSET(Dataset!$A$1,B53-1,10)</f>
        <v>2</v>
      </c>
      <c r="F53" s="17" t="str">
        <f aca="true">OFFSET(Dataset!$A$1,B53-1,6)</f>
        <v>Closed</v>
      </c>
    </row>
    <row r="54" customFormat="false" ht="14.25" hidden="false" customHeight="false" outlineLevel="0" collapsed="false">
      <c r="A54" s="2" t="s">
        <v>42</v>
      </c>
      <c r="B54" s="2" t="n">
        <v>6</v>
      </c>
      <c r="C54" s="16" t="str">
        <f aca="true">OFFSET(Dataset!$A$1,B54-1,2)</f>
        <v>Payments</v>
      </c>
      <c r="D54" s="16" t="str">
        <f aca="true">OFFSET(Dataset!$A$1,B54-1,4)</f>
        <v>Critical</v>
      </c>
      <c r="E54" s="16" t="n">
        <f aca="true">OFFSET(Dataset!$A$1,B54-1,10)</f>
        <v>10</v>
      </c>
      <c r="F54" s="16" t="str">
        <f aca="true">OFFSET(Dataset!$A$1,B54-1,6)</f>
        <v>Resolved</v>
      </c>
    </row>
    <row r="55" customFormat="false" ht="14.25" hidden="false" customHeight="false" outlineLevel="0" collapsed="false">
      <c r="A55" s="6" t="s">
        <v>46</v>
      </c>
      <c r="B55" s="6" t="n">
        <v>7</v>
      </c>
      <c r="C55" s="17" t="str">
        <f aca="true">OFFSET(Dataset!$A$1,B55-1,2)</f>
        <v>Search</v>
      </c>
      <c r="D55" s="17" t="str">
        <f aca="true">OFFSET(Dataset!$A$1,B55-1,4)</f>
        <v>High</v>
      </c>
      <c r="E55" s="17" t="n">
        <f aca="true">OFFSET(Dataset!$A$1,B55-1,10)</f>
        <v>4</v>
      </c>
      <c r="F55" s="17" t="str">
        <f aca="true">OFFSET(Dataset!$A$1,B55-1,6)</f>
        <v>Open</v>
      </c>
    </row>
    <row r="56" customFormat="false" ht="14.25" hidden="false" customHeight="false" outlineLevel="0" collapsed="false">
      <c r="A56" s="2" t="s">
        <v>51</v>
      </c>
      <c r="B56" s="2" t="n">
        <v>8</v>
      </c>
      <c r="C56" s="16" t="str">
        <f aca="true">OFFSET(Dataset!$A$1,B56-1,2)</f>
        <v>Reports</v>
      </c>
      <c r="D56" s="16" t="str">
        <f aca="true">OFFSET(Dataset!$A$1,B56-1,4)</f>
        <v>Medium</v>
      </c>
      <c r="E56" s="16" t="n">
        <f aca="true">OFFSET(Dataset!$A$1,B56-1,10)</f>
        <v>3</v>
      </c>
      <c r="F56" s="16" t="str">
        <f aca="true">OFFSET(Dataset!$A$1,B56-1,6)</f>
        <v>Closed</v>
      </c>
    </row>
    <row r="57" customFormat="false" ht="14.25" hidden="false" customHeight="false" outlineLevel="0" collapsed="false">
      <c r="A57" s="6" t="s">
        <v>53</v>
      </c>
      <c r="B57" s="6" t="n">
        <v>9</v>
      </c>
      <c r="C57" s="17" t="str">
        <f aca="true">OFFSET(Dataset!$A$1,B57-1,2)</f>
        <v>Login</v>
      </c>
      <c r="D57" s="17" t="str">
        <f aca="true">OFFSET(Dataset!$A$1,B57-1,4)</f>
        <v>Low</v>
      </c>
      <c r="E57" s="17" t="n">
        <f aca="true">OFFSET(Dataset!$A$1,B57-1,10)</f>
        <v>2</v>
      </c>
      <c r="F57" s="17" t="str">
        <f aca="true">OFFSET(Dataset!$A$1,B57-1,6)</f>
        <v>Resolved</v>
      </c>
    </row>
    <row r="58" customFormat="false" ht="14.25" hidden="false" customHeight="false" outlineLevel="0" collapsed="false">
      <c r="A58" s="2" t="s">
        <v>55</v>
      </c>
      <c r="B58" s="2" t="n">
        <v>10</v>
      </c>
      <c r="C58" s="16" t="str">
        <f aca="true">OFFSET(Dataset!$A$1,B58-1,2)</f>
        <v>Dashboard</v>
      </c>
      <c r="D58" s="16" t="str">
        <f aca="true">OFFSET(Dataset!$A$1,B58-1,4)</f>
        <v>Critical</v>
      </c>
      <c r="E58" s="16" t="n">
        <f aca="true">OFFSET(Dataset!$A$1,B58-1,10)</f>
        <v>7</v>
      </c>
      <c r="F58" s="16" t="str">
        <f aca="true">OFFSET(Dataset!$A$1,B58-1,6)</f>
        <v>Open</v>
      </c>
    </row>
    <row r="59" customFormat="false" ht="14.25" hidden="false" customHeight="false" outlineLevel="0" collapsed="false">
      <c r="A59" s="6" t="s">
        <v>57</v>
      </c>
      <c r="B59" s="6" t="n">
        <v>11</v>
      </c>
      <c r="C59" s="17" t="str">
        <f aca="true">OFFSET(Dataset!$A$1,B59-1,2)</f>
        <v>Payments</v>
      </c>
      <c r="D59" s="17" t="str">
        <f aca="true">OFFSET(Dataset!$A$1,B59-1,4)</f>
        <v>High</v>
      </c>
      <c r="E59" s="17" t="n">
        <f aca="true">OFFSET(Dataset!$A$1,B59-1,10)</f>
        <v>6</v>
      </c>
      <c r="F59" s="17" t="str">
        <f aca="true">OFFSET(Dataset!$A$1,B59-1,6)</f>
        <v>Resolved</v>
      </c>
    </row>
    <row r="61" customFormat="false" ht="21.75" hidden="false" customHeight="true" outlineLevel="0" collapsed="false">
      <c r="A61" s="11" t="s">
        <v>90</v>
      </c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26.25" hidden="false" customHeight="true" outlineLevel="0" collapsed="false">
      <c r="A62" s="1" t="s">
        <v>0</v>
      </c>
      <c r="B62" s="1" t="s">
        <v>91</v>
      </c>
      <c r="C62" s="1" t="s">
        <v>92</v>
      </c>
      <c r="D62" s="1" t="s">
        <v>93</v>
      </c>
      <c r="E62" s="1" t="s">
        <v>94</v>
      </c>
      <c r="F62" s="1" t="s">
        <v>95</v>
      </c>
    </row>
    <row r="63" customFormat="false" ht="14.25" hidden="false" customHeight="false" outlineLevel="0" collapsed="false">
      <c r="A63" s="2" t="s">
        <v>15</v>
      </c>
      <c r="B63" s="2" t="n">
        <v>3</v>
      </c>
      <c r="C63" s="18" t="str">
        <f aca="true">INDIRECT("Dataset!C"&amp;B63)</f>
        <v>Dashboard</v>
      </c>
      <c r="D63" s="18" t="str">
        <f aca="true">INDIRECT("Dataset!D"&amp;B63)</f>
        <v>Bob</v>
      </c>
      <c r="E63" s="18" t="n">
        <f aca="true">INDIRECT("Dataset!K"&amp;B63)</f>
        <v>5</v>
      </c>
      <c r="F63" s="19" t="str">
        <f aca="true">INDIRECT("Dataset!O"&amp;B63)</f>
        <v>Dashboard loads slowly on first open</v>
      </c>
    </row>
    <row r="64" customFormat="false" ht="14.25" hidden="false" customHeight="false" outlineLevel="0" collapsed="false">
      <c r="A64" s="6" t="s">
        <v>25</v>
      </c>
      <c r="B64" s="6" t="n">
        <v>4</v>
      </c>
      <c r="C64" s="20" t="str">
        <f aca="true">INDIRECT("Dataset!C"&amp;B64)</f>
        <v>Reports</v>
      </c>
      <c r="D64" s="20" t="str">
        <f aca="true">INDIRECT("Dataset!D"&amp;B64)</f>
        <v>Alice</v>
      </c>
      <c r="E64" s="20" t="n">
        <f aca="true">INDIRECT("Dataset!K"&amp;B64)</f>
        <v>3</v>
      </c>
      <c r="F64" s="21" t="str">
        <f aca="true">INDIRECT("Dataset!O"&amp;B64)</f>
        <v>Export to PDF fails silently</v>
      </c>
    </row>
    <row r="65" customFormat="false" ht="14.25" hidden="false" customHeight="false" outlineLevel="0" collapsed="false">
      <c r="A65" s="2" t="s">
        <v>31</v>
      </c>
      <c r="B65" s="2" t="n">
        <v>5</v>
      </c>
      <c r="C65" s="18" t="str">
        <f aca="true">INDIRECT("Dataset!C"&amp;B65)</f>
        <v>Login</v>
      </c>
      <c r="D65" s="18" t="str">
        <f aca="true">INDIRECT("Dataset!D"&amp;B65)</f>
        <v>Charlie</v>
      </c>
      <c r="E65" s="18" t="n">
        <f aca="true">INDIRECT("Dataset!K"&amp;B65)</f>
        <v>2</v>
      </c>
      <c r="F65" s="19" t="str">
        <f aca="true">INDIRECT("Dataset!O"&amp;B65)</f>
        <v>Typo in login error message</v>
      </c>
    </row>
    <row r="66" customFormat="false" ht="14.25" hidden="false" customHeight="false" outlineLevel="0" collapsed="false">
      <c r="A66" s="6" t="s">
        <v>37</v>
      </c>
      <c r="B66" s="6" t="n">
        <v>6</v>
      </c>
      <c r="C66" s="20" t="str">
        <f aca="true">INDIRECT("Dataset!C"&amp;B66)</f>
        <v>Payments</v>
      </c>
      <c r="D66" s="20" t="str">
        <f aca="true">INDIRECT("Dataset!D"&amp;B66)</f>
        <v>Bob</v>
      </c>
      <c r="E66" s="20" t="n">
        <f aca="true">INDIRECT("Dataset!K"&amp;B66)</f>
        <v>10</v>
      </c>
      <c r="F66" s="21" t="str">
        <f aca="true">INDIRECT("Dataset!O"&amp;B66)</f>
        <v>Payment gateway timeout on retry</v>
      </c>
    </row>
    <row r="67" customFormat="false" ht="14.25" hidden="false" customHeight="false" outlineLevel="0" collapsed="false">
      <c r="A67" s="2" t="s">
        <v>42</v>
      </c>
      <c r="B67" s="2" t="n">
        <v>7</v>
      </c>
      <c r="C67" s="18" t="str">
        <f aca="true">INDIRECT("Dataset!C"&amp;B67)</f>
        <v>Search</v>
      </c>
      <c r="D67" s="18" t="str">
        <f aca="true">INDIRECT("Dataset!D"&amp;B67)</f>
        <v>Diana</v>
      </c>
      <c r="E67" s="18" t="n">
        <f aca="true">INDIRECT("Dataset!K"&amp;B67)</f>
        <v>4</v>
      </c>
      <c r="F67" s="19" t="str">
        <f aca="true">INDIRECT("Dataset!O"&amp;B67)</f>
        <v>Search returns wrong result set</v>
      </c>
    </row>
    <row r="68" customFormat="false" ht="14.25" hidden="false" customHeight="false" outlineLevel="0" collapsed="false">
      <c r="A68" s="6" t="s">
        <v>46</v>
      </c>
      <c r="B68" s="6" t="n">
        <v>8</v>
      </c>
      <c r="C68" s="20" t="str">
        <f aca="true">INDIRECT("Dataset!C"&amp;B68)</f>
        <v>Reports</v>
      </c>
      <c r="D68" s="20" t="str">
        <f aca="true">INDIRECT("Dataset!D"&amp;B68)</f>
        <v>Charlie</v>
      </c>
      <c r="E68" s="20" t="n">
        <f aca="true">INDIRECT("Dataset!K"&amp;B68)</f>
        <v>3</v>
      </c>
      <c r="F68" s="21" t="str">
        <f aca="true">INDIRECT("Dataset!O"&amp;B68)</f>
        <v>Report pagination broken on page 3</v>
      </c>
    </row>
    <row r="69" customFormat="false" ht="14.25" hidden="false" customHeight="false" outlineLevel="0" collapsed="false">
      <c r="A69" s="2" t="s">
        <v>51</v>
      </c>
      <c r="B69" s="2" t="n">
        <v>9</v>
      </c>
      <c r="C69" s="18" t="str">
        <f aca="true">INDIRECT("Dataset!C"&amp;B69)</f>
        <v>Login</v>
      </c>
      <c r="D69" s="18" t="str">
        <f aca="true">INDIRECT("Dataset!D"&amp;B69)</f>
        <v>Alice</v>
      </c>
      <c r="E69" s="18" t="n">
        <f aca="true">INDIRECT("Dataset!K"&amp;B69)</f>
        <v>2</v>
      </c>
      <c r="F69" s="19" t="str">
        <f aca="true">INDIRECT("Dataset!O"&amp;B69)</f>
        <v>Password field asterisks missing</v>
      </c>
    </row>
    <row r="70" customFormat="false" ht="14.25" hidden="false" customHeight="false" outlineLevel="0" collapsed="false">
      <c r="A70" s="6" t="s">
        <v>53</v>
      </c>
      <c r="B70" s="6" t="n">
        <v>10</v>
      </c>
      <c r="C70" s="20" t="str">
        <f aca="true">INDIRECT("Dataset!C"&amp;B70)</f>
        <v>Dashboard</v>
      </c>
      <c r="D70" s="20" t="str">
        <f aca="true">INDIRECT("Dataset!D"&amp;B70)</f>
        <v>Bob</v>
      </c>
      <c r="E70" s="20" t="n">
        <f aca="true">INDIRECT("Dataset!K"&amp;B70)</f>
        <v>7</v>
      </c>
      <c r="F70" s="21" t="str">
        <f aca="true">INDIRECT("Dataset!O"&amp;B70)</f>
        <v>App crashes on dashboard load</v>
      </c>
    </row>
    <row r="71" customFormat="false" ht="14.25" hidden="false" customHeight="false" outlineLevel="0" collapsed="false">
      <c r="A71" s="2" t="s">
        <v>55</v>
      </c>
      <c r="B71" s="2" t="n">
        <v>11</v>
      </c>
      <c r="C71" s="18" t="str">
        <f aca="true">INDIRECT("Dataset!C"&amp;B71)</f>
        <v>Payments</v>
      </c>
      <c r="D71" s="18" t="str">
        <f aca="true">INDIRECT("Dataset!D"&amp;B71)</f>
        <v>Diana</v>
      </c>
      <c r="E71" s="18" t="n">
        <f aca="true">INDIRECT("Dataset!K"&amp;B71)</f>
        <v>6</v>
      </c>
      <c r="F71" s="19" t="str">
        <f aca="true">INDIRECT("Dataset!O"&amp;B71)</f>
        <v>Double charge on payment retry</v>
      </c>
    </row>
    <row r="72" customFormat="false" ht="14.25" hidden="false" customHeight="false" outlineLevel="0" collapsed="false">
      <c r="A72" s="6" t="s">
        <v>57</v>
      </c>
      <c r="B72" s="6" t="n">
        <v>12</v>
      </c>
      <c r="C72" s="20" t="str">
        <f aca="true">INDIRECT("Dataset!C"&amp;B72)</f>
        <v>Login</v>
      </c>
      <c r="D72" s="20" t="str">
        <f aca="true">INDIRECT("Dataset!D"&amp;B72)</f>
        <v>Alice</v>
      </c>
      <c r="E72" s="20" t="n">
        <f aca="true">INDIRECT("Dataset!K"&amp;B72)</f>
        <v>3</v>
      </c>
      <c r="F72" s="21" t="str">
        <f aca="true">INDIRECT("Dataset!O"&amp;B72)</f>
        <v>SSO redirect broken after logout</v>
      </c>
    </row>
  </sheetData>
  <mergeCells count="5">
    <mergeCell ref="A1:L1"/>
    <mergeCell ref="A2:F2"/>
    <mergeCell ref="A25:H25"/>
    <mergeCell ref="A48:J48"/>
    <mergeCell ref="A61:J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54" activeCellId="0" sqref="C5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0" t="s">
        <v>96</v>
      </c>
      <c r="B1" s="10"/>
      <c r="C1" s="10"/>
      <c r="D1" s="10"/>
      <c r="E1" s="10"/>
      <c r="F1" s="10"/>
      <c r="G1" s="10"/>
      <c r="H1" s="10"/>
      <c r="I1" s="10"/>
    </row>
    <row r="2" customFormat="false" ht="21.75" hidden="false" customHeight="true" outlineLevel="0" collapsed="false">
      <c r="A2" s="11" t="s">
        <v>97</v>
      </c>
      <c r="B2" s="11"/>
      <c r="C2" s="11"/>
      <c r="D2" s="11"/>
      <c r="E2" s="11"/>
      <c r="F2" s="11"/>
      <c r="G2" s="11"/>
    </row>
    <row r="3" customFormat="false" ht="14.25" hidden="false" customHeight="false" outlineLevel="0" collapsed="false">
      <c r="A3" s="1" t="s">
        <v>0</v>
      </c>
      <c r="B3" s="1" t="s">
        <v>6</v>
      </c>
      <c r="C3" s="1" t="s">
        <v>98</v>
      </c>
      <c r="D3" s="1" t="s">
        <v>99</v>
      </c>
      <c r="E3" s="1" t="s">
        <v>100</v>
      </c>
      <c r="F3" s="1" t="s">
        <v>11</v>
      </c>
      <c r="G3" s="1" t="s">
        <v>101</v>
      </c>
    </row>
    <row r="4" customFormat="false" ht="14.25" hidden="false" customHeight="false" outlineLevel="0" collapsed="false">
      <c r="A4" s="2" t="s">
        <v>15</v>
      </c>
      <c r="B4" s="4" t="str">
        <f aca="false">VLOOKUP(A4,Dataset!$A:$O,7,0)</f>
        <v>Open</v>
      </c>
      <c r="C4" s="12" t="str">
        <f aca="false">IF(VLOOKUP(A4,Dataset!$A:$O,6,0)="High","High Priority","Normal")</f>
        <v>High Priority</v>
      </c>
      <c r="D4" s="4" t="n">
        <f aca="false">VLOOKUP(A4,Dataset!$A:$O,11,0)</f>
        <v>8</v>
      </c>
      <c r="E4" s="12" t="str">
        <f aca="false">IF(D4&gt;=8,"Heavy",IF(D4&gt;=4,"Moderate","Light"))</f>
        <v>Heavy</v>
      </c>
      <c r="F4" s="4" t="str">
        <f aca="false">VLOOKUP(A4,Dataset!$A:$O,12,0)</f>
        <v>Fail</v>
      </c>
      <c r="G4" s="12" t="str">
        <f aca="false">IF(F4="Pass","Pass","Fail")</f>
        <v>Fail</v>
      </c>
    </row>
    <row r="5" customFormat="false" ht="14.25" hidden="false" customHeight="false" outlineLevel="0" collapsed="false">
      <c r="A5" s="6" t="s">
        <v>25</v>
      </c>
      <c r="B5" s="8" t="str">
        <f aca="false">VLOOKUP(A5,Dataset!$A:$O,7,0)</f>
        <v>Resolved</v>
      </c>
      <c r="C5" s="13" t="str">
        <f aca="false">IF(VLOOKUP(A5,Dataset!$A:$O,6,0)="High","High Priority","Normal")</f>
        <v>High Priority</v>
      </c>
      <c r="D5" s="8" t="n">
        <f aca="false">VLOOKUP(A5,Dataset!$A:$O,11,0)</f>
        <v>5</v>
      </c>
      <c r="E5" s="13" t="str">
        <f aca="false">IF(D5&gt;=8,"Heavy",IF(D5&gt;=4,"Moderate","Light"))</f>
        <v>Moderate</v>
      </c>
      <c r="F5" s="8" t="str">
        <f aca="false">VLOOKUP(A5,Dataset!$A:$O,12,0)</f>
        <v>Pass</v>
      </c>
      <c r="G5" s="13" t="str">
        <f aca="false">IF(F5="Pass","Pass","Fail")</f>
        <v>Pass</v>
      </c>
    </row>
    <row r="6" customFormat="false" ht="14.25" hidden="false" customHeight="false" outlineLevel="0" collapsed="false">
      <c r="A6" s="2" t="s">
        <v>31</v>
      </c>
      <c r="B6" s="4" t="str">
        <f aca="false">VLOOKUP(A6,Dataset!$A:$O,7,0)</f>
        <v>Open</v>
      </c>
      <c r="C6" s="12" t="str">
        <f aca="false">IF(VLOOKUP(A6,Dataset!$A:$O,6,0)="High","High Priority","Normal")</f>
        <v>Normal</v>
      </c>
      <c r="D6" s="4" t="n">
        <f aca="false">VLOOKUP(A6,Dataset!$A:$O,11,0)</f>
        <v>3</v>
      </c>
      <c r="E6" s="12" t="str">
        <f aca="false">IF(D6&gt;=8,"Heavy",IF(D6&gt;=4,"Moderate","Light"))</f>
        <v>Light</v>
      </c>
      <c r="F6" s="4" t="str">
        <f aca="false">VLOOKUP(A6,Dataset!$A:$O,12,0)</f>
        <v>Fail</v>
      </c>
      <c r="G6" s="12" t="str">
        <f aca="false">IF(F6="Pass","Pass","Fail")</f>
        <v>Fail</v>
      </c>
    </row>
    <row r="7" customFormat="false" ht="14.25" hidden="false" customHeight="false" outlineLevel="0" collapsed="false">
      <c r="A7" s="6" t="s">
        <v>37</v>
      </c>
      <c r="B7" s="8" t="str">
        <f aca="false">VLOOKUP(A7,Dataset!$A:$O,7,0)</f>
        <v>Closed</v>
      </c>
      <c r="C7" s="13" t="str">
        <f aca="false">IF(VLOOKUP(A7,Dataset!$A:$O,6,0)="High","High Priority","Normal")</f>
        <v>Normal</v>
      </c>
      <c r="D7" s="8" t="n">
        <f aca="false">VLOOKUP(A7,Dataset!$A:$O,11,0)</f>
        <v>2</v>
      </c>
      <c r="E7" s="13" t="str">
        <f aca="false">IF(D7&gt;=8,"Heavy",IF(D7&gt;=4,"Moderate","Light"))</f>
        <v>Light</v>
      </c>
      <c r="F7" s="8" t="str">
        <f aca="false">VLOOKUP(A7,Dataset!$A:$O,12,0)</f>
        <v>Pass</v>
      </c>
      <c r="G7" s="13" t="str">
        <f aca="false">IF(F7="Pass","Pass","Fail")</f>
        <v>Pass</v>
      </c>
    </row>
    <row r="8" customFormat="false" ht="14.25" hidden="false" customHeight="false" outlineLevel="0" collapsed="false">
      <c r="A8" s="2" t="s">
        <v>42</v>
      </c>
      <c r="B8" s="4" t="str">
        <f aca="false">VLOOKUP(A8,Dataset!$A:$O,7,0)</f>
        <v>Resolved</v>
      </c>
      <c r="C8" s="12" t="str">
        <f aca="false">IF(VLOOKUP(A8,Dataset!$A:$O,6,0)="High","High Priority","Normal")</f>
        <v>High Priority</v>
      </c>
      <c r="D8" s="4" t="n">
        <f aca="false">VLOOKUP(A8,Dataset!$A:$O,11,0)</f>
        <v>10</v>
      </c>
      <c r="E8" s="12" t="str">
        <f aca="false">IF(D8&gt;=8,"Heavy",IF(D8&gt;=4,"Moderate","Light"))</f>
        <v>Heavy</v>
      </c>
      <c r="F8" s="4" t="str">
        <f aca="false">VLOOKUP(A8,Dataset!$A:$O,12,0)</f>
        <v>Pass</v>
      </c>
      <c r="G8" s="12" t="str">
        <f aca="false">IF(F8="Pass","Pass","Fail")</f>
        <v>Pass</v>
      </c>
    </row>
    <row r="9" customFormat="false" ht="14.25" hidden="false" customHeight="false" outlineLevel="0" collapsed="false">
      <c r="A9" s="6" t="s">
        <v>46</v>
      </c>
      <c r="B9" s="8" t="str">
        <f aca="false">VLOOKUP(A9,Dataset!$A:$O,7,0)</f>
        <v>Open</v>
      </c>
      <c r="C9" s="13" t="str">
        <f aca="false">IF(VLOOKUP(A9,Dataset!$A:$O,6,0)="High","High Priority","Normal")</f>
        <v>Normal</v>
      </c>
      <c r="D9" s="8" t="n">
        <f aca="false">VLOOKUP(A9,Dataset!$A:$O,11,0)</f>
        <v>4</v>
      </c>
      <c r="E9" s="13" t="str">
        <f aca="false">IF(D9&gt;=8,"Heavy",IF(D9&gt;=4,"Moderate","Light"))</f>
        <v>Moderate</v>
      </c>
      <c r="F9" s="8" t="str">
        <f aca="false">VLOOKUP(A9,Dataset!$A:$O,12,0)</f>
        <v>Fail</v>
      </c>
      <c r="G9" s="13" t="str">
        <f aca="false">IF(F9="Pass","Pass","Fail")</f>
        <v>Fail</v>
      </c>
    </row>
    <row r="10" customFormat="false" ht="14.25" hidden="false" customHeight="false" outlineLevel="0" collapsed="false">
      <c r="A10" s="2" t="s">
        <v>51</v>
      </c>
      <c r="B10" s="4" t="str">
        <f aca="false">VLOOKUP(A10,Dataset!$A:$O,7,0)</f>
        <v>Closed</v>
      </c>
      <c r="C10" s="12" t="str">
        <f aca="false">IF(VLOOKUP(A10,Dataset!$A:$O,6,0)="High","High Priority","Normal")</f>
        <v>Normal</v>
      </c>
      <c r="D10" s="4" t="n">
        <f aca="false">VLOOKUP(A10,Dataset!$A:$O,11,0)</f>
        <v>3</v>
      </c>
      <c r="E10" s="12" t="str">
        <f aca="false">IF(D10&gt;=8,"Heavy",IF(D10&gt;=4,"Moderate","Light"))</f>
        <v>Light</v>
      </c>
      <c r="F10" s="4" t="str">
        <f aca="false">VLOOKUP(A10,Dataset!$A:$O,12,0)</f>
        <v>Pass</v>
      </c>
      <c r="G10" s="12" t="str">
        <f aca="false">IF(F10="Pass","Pass","Fail")</f>
        <v>Pass</v>
      </c>
    </row>
    <row r="11" customFormat="false" ht="14.25" hidden="false" customHeight="false" outlineLevel="0" collapsed="false">
      <c r="A11" s="6" t="s">
        <v>53</v>
      </c>
      <c r="B11" s="8" t="str">
        <f aca="false">VLOOKUP(A11,Dataset!$A:$O,7,0)</f>
        <v>Resolved</v>
      </c>
      <c r="C11" s="13" t="str">
        <f aca="false">IF(VLOOKUP(A11,Dataset!$A:$O,6,0)="High","High Priority","Normal")</f>
        <v>Normal</v>
      </c>
      <c r="D11" s="8" t="n">
        <f aca="false">VLOOKUP(A11,Dataset!$A:$O,11,0)</f>
        <v>2</v>
      </c>
      <c r="E11" s="13" t="str">
        <f aca="false">IF(D11&gt;=8,"Heavy",IF(D11&gt;=4,"Moderate","Light"))</f>
        <v>Light</v>
      </c>
      <c r="F11" s="8" t="str">
        <f aca="false">VLOOKUP(A11,Dataset!$A:$O,12,0)</f>
        <v>Pass</v>
      </c>
      <c r="G11" s="13" t="str">
        <f aca="false">IF(F11="Pass","Pass","Fail")</f>
        <v>Pass</v>
      </c>
    </row>
    <row r="12" customFormat="false" ht="14.25" hidden="false" customHeight="false" outlineLevel="0" collapsed="false">
      <c r="A12" s="2" t="s">
        <v>55</v>
      </c>
      <c r="B12" s="4" t="str">
        <f aca="false">VLOOKUP(A12,Dataset!$A:$O,7,0)</f>
        <v>Open</v>
      </c>
      <c r="C12" s="12" t="str">
        <f aca="false">IF(VLOOKUP(A12,Dataset!$A:$O,6,0)="High","High Priority","Normal")</f>
        <v>High Priority</v>
      </c>
      <c r="D12" s="4" t="n">
        <f aca="false">VLOOKUP(A12,Dataset!$A:$O,11,0)</f>
        <v>7</v>
      </c>
      <c r="E12" s="12" t="str">
        <f aca="false">IF(D12&gt;=8,"Heavy",IF(D12&gt;=4,"Moderate","Light"))</f>
        <v>Moderate</v>
      </c>
      <c r="F12" s="4" t="str">
        <f aca="false">VLOOKUP(A12,Dataset!$A:$O,12,0)</f>
        <v>Fail</v>
      </c>
      <c r="G12" s="12" t="str">
        <f aca="false">IF(F12="Pass","Pass","Fail")</f>
        <v>Fail</v>
      </c>
    </row>
    <row r="13" customFormat="false" ht="14.25" hidden="false" customHeight="false" outlineLevel="0" collapsed="false">
      <c r="A13" s="6" t="s">
        <v>57</v>
      </c>
      <c r="B13" s="8" t="str">
        <f aca="false">VLOOKUP(A13,Dataset!$A:$O,7,0)</f>
        <v>Resolved</v>
      </c>
      <c r="C13" s="13" t="str">
        <f aca="false">IF(VLOOKUP(A13,Dataset!$A:$O,6,0)="High","High Priority","Normal")</f>
        <v>High Priority</v>
      </c>
      <c r="D13" s="8" t="n">
        <f aca="false">VLOOKUP(A13,Dataset!$A:$O,11,0)</f>
        <v>6</v>
      </c>
      <c r="E13" s="13" t="str">
        <f aca="false">IF(D13&gt;=8,"Heavy",IF(D13&gt;=4,"Moderate","Light"))</f>
        <v>Moderate</v>
      </c>
      <c r="F13" s="8" t="str">
        <f aca="false">VLOOKUP(A13,Dataset!$A:$O,12,0)</f>
        <v>Pass</v>
      </c>
      <c r="G13" s="13" t="str">
        <f aca="false">IF(F13="Pass","Pass","Fail")</f>
        <v>Pass</v>
      </c>
    </row>
    <row r="14" customFormat="false" ht="14.25" hidden="false" customHeight="false" outlineLevel="0" collapsed="false">
      <c r="A14" s="2" t="s">
        <v>59</v>
      </c>
      <c r="B14" s="4" t="str">
        <f aca="false">VLOOKUP(A14,Dataset!$A:$O,7,0)</f>
        <v>Open</v>
      </c>
      <c r="C14" s="12" t="str">
        <f aca="false">IF(VLOOKUP(A14,Dataset!$A:$O,6,0)="High","High Priority","Normal")</f>
        <v>Normal</v>
      </c>
      <c r="D14" s="4" t="n">
        <f aca="false">VLOOKUP(A14,Dataset!$A:$O,11,0)</f>
        <v>3</v>
      </c>
      <c r="E14" s="12" t="str">
        <f aca="false">IF(D14&gt;=8,"Heavy",IF(D14&gt;=4,"Moderate","Light"))</f>
        <v>Light</v>
      </c>
      <c r="F14" s="4" t="str">
        <f aca="false">VLOOKUP(A14,Dataset!$A:$O,12,0)</f>
        <v>Fail</v>
      </c>
      <c r="G14" s="12" t="str">
        <f aca="false">IF(F14="Pass","Pass","Fail")</f>
        <v>Fail</v>
      </c>
    </row>
    <row r="15" customFormat="false" ht="14.25" hidden="false" customHeight="false" outlineLevel="0" collapsed="false">
      <c r="A15" s="6" t="s">
        <v>61</v>
      </c>
      <c r="B15" s="8" t="str">
        <f aca="false">VLOOKUP(A15,Dataset!$A:$O,7,0)</f>
        <v>Closed</v>
      </c>
      <c r="C15" s="13" t="str">
        <f aca="false">IF(VLOOKUP(A15,Dataset!$A:$O,6,0)="High","High Priority","Normal")</f>
        <v>Normal</v>
      </c>
      <c r="D15" s="8" t="n">
        <f aca="false">VLOOKUP(A15,Dataset!$A:$O,11,0)</f>
        <v>1</v>
      </c>
      <c r="E15" s="13" t="str">
        <f aca="false">IF(D15&gt;=8,"Heavy",IF(D15&gt;=4,"Moderate","Light"))</f>
        <v>Light</v>
      </c>
      <c r="F15" s="8" t="str">
        <f aca="false">VLOOKUP(A15,Dataset!$A:$O,12,0)</f>
        <v>Pass</v>
      </c>
      <c r="G15" s="13" t="str">
        <f aca="false">IF(F15="Pass","Pass","Fail")</f>
        <v>Pass</v>
      </c>
    </row>
    <row r="16" customFormat="false" ht="14.25" hidden="false" customHeight="false" outlineLevel="0" collapsed="false">
      <c r="A16" s="2" t="s">
        <v>63</v>
      </c>
      <c r="B16" s="4" t="str">
        <f aca="false">VLOOKUP(A16,Dataset!$A:$O,7,0)</f>
        <v>Resolved</v>
      </c>
      <c r="C16" s="12" t="str">
        <f aca="false">IF(VLOOKUP(A16,Dataset!$A:$O,6,0)="High","High Priority","Normal")</f>
        <v>High Priority</v>
      </c>
      <c r="D16" s="4" t="n">
        <f aca="false">VLOOKUP(A16,Dataset!$A:$O,11,0)</f>
        <v>9</v>
      </c>
      <c r="E16" s="12" t="str">
        <f aca="false">IF(D16&gt;=8,"Heavy",IF(D16&gt;=4,"Moderate","Light"))</f>
        <v>Heavy</v>
      </c>
      <c r="F16" s="4" t="str">
        <f aca="false">VLOOKUP(A16,Dataset!$A:$O,12,0)</f>
        <v>Pass</v>
      </c>
      <c r="G16" s="12" t="str">
        <f aca="false">IF(F16="Pass","Pass","Fail")</f>
        <v>Pass</v>
      </c>
    </row>
    <row r="17" customFormat="false" ht="14.25" hidden="false" customHeight="false" outlineLevel="0" collapsed="false">
      <c r="A17" s="6" t="s">
        <v>65</v>
      </c>
      <c r="B17" s="8" t="str">
        <f aca="false">VLOOKUP(A17,Dataset!$A:$O,7,0)</f>
        <v>Open</v>
      </c>
      <c r="C17" s="13" t="str">
        <f aca="false">IF(VLOOKUP(A17,Dataset!$A:$O,6,0)="High","High Priority","Normal")</f>
        <v>Normal</v>
      </c>
      <c r="D17" s="8" t="n">
        <f aca="false">VLOOKUP(A17,Dataset!$A:$O,11,0)</f>
        <v>5</v>
      </c>
      <c r="E17" s="13" t="str">
        <f aca="false">IF(D17&gt;=8,"Heavy",IF(D17&gt;=4,"Moderate","Light"))</f>
        <v>Moderate</v>
      </c>
      <c r="F17" s="8" t="str">
        <f aca="false">VLOOKUP(A17,Dataset!$A:$O,12,0)</f>
        <v>Fail</v>
      </c>
      <c r="G17" s="13" t="str">
        <f aca="false">IF(F17="Pass","Pass","Fail")</f>
        <v>Fail</v>
      </c>
    </row>
    <row r="18" customFormat="false" ht="14.25" hidden="false" customHeight="false" outlineLevel="0" collapsed="false">
      <c r="A18" s="2" t="s">
        <v>67</v>
      </c>
      <c r="B18" s="4" t="str">
        <f aca="false">VLOOKUP(A18,Dataset!$A:$O,7,0)</f>
        <v>Closed</v>
      </c>
      <c r="C18" s="12" t="str">
        <f aca="false">IF(VLOOKUP(A18,Dataset!$A:$O,6,0)="High","High Priority","Normal")</f>
        <v>Normal</v>
      </c>
      <c r="D18" s="4" t="n">
        <f aca="false">VLOOKUP(A18,Dataset!$A:$O,11,0)</f>
        <v>4</v>
      </c>
      <c r="E18" s="12" t="str">
        <f aca="false">IF(D18&gt;=8,"Heavy",IF(D18&gt;=4,"Moderate","Light"))</f>
        <v>Moderate</v>
      </c>
      <c r="F18" s="4" t="str">
        <f aca="false">VLOOKUP(A18,Dataset!$A:$O,12,0)</f>
        <v>Pass</v>
      </c>
      <c r="G18" s="12" t="str">
        <f aca="false">IF(F18="Pass","Pass","Fail")</f>
        <v>Pass</v>
      </c>
    </row>
    <row r="19" customFormat="false" ht="14.25" hidden="false" customHeight="false" outlineLevel="0" collapsed="false">
      <c r="A19" s="6" t="s">
        <v>69</v>
      </c>
      <c r="B19" s="8" t="str">
        <f aca="false">VLOOKUP(A19,Dataset!$A:$O,7,0)</f>
        <v>Resolved</v>
      </c>
      <c r="C19" s="13" t="str">
        <f aca="false">IF(VLOOKUP(A19,Dataset!$A:$O,6,0)="High","High Priority","Normal")</f>
        <v>Normal</v>
      </c>
      <c r="D19" s="8" t="n">
        <f aca="false">VLOOKUP(A19,Dataset!$A:$O,11,0)</f>
        <v>2</v>
      </c>
      <c r="E19" s="13" t="str">
        <f aca="false">IF(D19&gt;=8,"Heavy",IF(D19&gt;=4,"Moderate","Light"))</f>
        <v>Light</v>
      </c>
      <c r="F19" s="8" t="str">
        <f aca="false">VLOOKUP(A19,Dataset!$A:$O,12,0)</f>
        <v>Pass</v>
      </c>
      <c r="G19" s="13" t="str">
        <f aca="false">IF(F19="Pass","Pass","Fail")</f>
        <v>Pass</v>
      </c>
    </row>
    <row r="20" customFormat="false" ht="14.25" hidden="false" customHeight="false" outlineLevel="0" collapsed="false">
      <c r="A20" s="2" t="s">
        <v>71</v>
      </c>
      <c r="B20" s="4" t="str">
        <f aca="false">VLOOKUP(A20,Dataset!$A:$O,7,0)</f>
        <v>Open</v>
      </c>
      <c r="C20" s="12" t="str">
        <f aca="false">IF(VLOOKUP(A20,Dataset!$A:$O,6,0)="High","High Priority","Normal")</f>
        <v>High Priority</v>
      </c>
      <c r="D20" s="4" t="n">
        <f aca="false">VLOOKUP(A20,Dataset!$A:$O,11,0)</f>
        <v>8</v>
      </c>
      <c r="E20" s="12" t="str">
        <f aca="false">IF(D20&gt;=8,"Heavy",IF(D20&gt;=4,"Moderate","Light"))</f>
        <v>Heavy</v>
      </c>
      <c r="F20" s="4" t="str">
        <f aca="false">VLOOKUP(A20,Dataset!$A:$O,12,0)</f>
        <v>Fail</v>
      </c>
      <c r="G20" s="12" t="str">
        <f aca="false">IF(F20="Pass","Pass","Fail")</f>
        <v>Fail</v>
      </c>
    </row>
    <row r="21" customFormat="false" ht="14.25" hidden="false" customHeight="false" outlineLevel="0" collapsed="false">
      <c r="A21" s="6" t="s">
        <v>73</v>
      </c>
      <c r="B21" s="8" t="str">
        <f aca="false">VLOOKUP(A21,Dataset!$A:$O,7,0)</f>
        <v>Resolved</v>
      </c>
      <c r="C21" s="13" t="str">
        <f aca="false">IF(VLOOKUP(A21,Dataset!$A:$O,6,0)="High","High Priority","Normal")</f>
        <v>High Priority</v>
      </c>
      <c r="D21" s="8" t="n">
        <f aca="false">VLOOKUP(A21,Dataset!$A:$O,11,0)</f>
        <v>7</v>
      </c>
      <c r="E21" s="13" t="str">
        <f aca="false">IF(D21&gt;=8,"Heavy",IF(D21&gt;=4,"Moderate","Light"))</f>
        <v>Moderate</v>
      </c>
      <c r="F21" s="8" t="str">
        <f aca="false">VLOOKUP(A21,Dataset!$A:$O,12,0)</f>
        <v>Pass</v>
      </c>
      <c r="G21" s="13" t="str">
        <f aca="false">IF(F21="Pass","Pass","Fail")</f>
        <v>Pass</v>
      </c>
    </row>
    <row r="22" customFormat="false" ht="14.25" hidden="false" customHeight="false" outlineLevel="0" collapsed="false">
      <c r="A22" s="2" t="s">
        <v>75</v>
      </c>
      <c r="B22" s="4" t="str">
        <f aca="false">VLOOKUP(A22,Dataset!$A:$O,7,0)</f>
        <v>Open</v>
      </c>
      <c r="C22" s="12" t="str">
        <f aca="false">IF(VLOOKUP(A22,Dataset!$A:$O,6,0)="High","High Priority","Normal")</f>
        <v>Normal</v>
      </c>
      <c r="D22" s="4" t="n">
        <f aca="false">VLOOKUP(A22,Dataset!$A:$O,11,0)</f>
        <v>3</v>
      </c>
      <c r="E22" s="12" t="str">
        <f aca="false">IF(D22&gt;=8,"Heavy",IF(D22&gt;=4,"Moderate","Light"))</f>
        <v>Light</v>
      </c>
      <c r="F22" s="4" t="str">
        <f aca="false">VLOOKUP(A22,Dataset!$A:$O,12,0)</f>
        <v>Fail</v>
      </c>
      <c r="G22" s="12" t="str">
        <f aca="false">IF(F22="Pass","Pass","Fail")</f>
        <v>Fail</v>
      </c>
    </row>
    <row r="23" customFormat="false" ht="14.25" hidden="false" customHeight="false" outlineLevel="0" collapsed="false">
      <c r="A23" s="6" t="s">
        <v>77</v>
      </c>
      <c r="B23" s="8" t="str">
        <f aca="false">VLOOKUP(A23,Dataset!$A:$O,7,0)</f>
        <v>Closed</v>
      </c>
      <c r="C23" s="13" t="str">
        <f aca="false">IF(VLOOKUP(A23,Dataset!$A:$O,6,0)="High","High Priority","Normal")</f>
        <v>Normal</v>
      </c>
      <c r="D23" s="8" t="n">
        <f aca="false">VLOOKUP(A23,Dataset!$A:$O,11,0)</f>
        <v>1</v>
      </c>
      <c r="E23" s="13" t="str">
        <f aca="false">IF(D23&gt;=8,"Heavy",IF(D23&gt;=4,"Moderate","Light"))</f>
        <v>Light</v>
      </c>
      <c r="F23" s="8" t="str">
        <f aca="false">VLOOKUP(A23,Dataset!$A:$O,12,0)</f>
        <v>Pass</v>
      </c>
      <c r="G23" s="13" t="str">
        <f aca="false">IF(F23="Pass","Pass","Fail")</f>
        <v>Pass</v>
      </c>
    </row>
    <row r="25" customFormat="false" ht="21.75" hidden="false" customHeight="true" outlineLevel="0" collapsed="false">
      <c r="A25" s="11" t="s">
        <v>102</v>
      </c>
      <c r="B25" s="11"/>
      <c r="C25" s="11"/>
      <c r="D25" s="11"/>
      <c r="E25" s="11"/>
      <c r="F25" s="11"/>
      <c r="G25" s="11"/>
    </row>
    <row r="26" customFormat="false" ht="39" hidden="false" customHeight="true" outlineLevel="0" collapsed="false">
      <c r="A26" s="1" t="s">
        <v>0</v>
      </c>
      <c r="B26" s="1" t="s">
        <v>4</v>
      </c>
      <c r="C26" s="1" t="s">
        <v>6</v>
      </c>
      <c r="D26" s="1" t="s">
        <v>103</v>
      </c>
      <c r="E26" s="1" t="s">
        <v>104</v>
      </c>
      <c r="F26" s="1" t="s">
        <v>105</v>
      </c>
      <c r="G26" s="1" t="s">
        <v>106</v>
      </c>
    </row>
    <row r="27" customFormat="false" ht="14.25" hidden="false" customHeight="false" outlineLevel="0" collapsed="false">
      <c r="A27" s="2" t="s">
        <v>15</v>
      </c>
      <c r="B27" s="4" t="str">
        <f aca="false">VLOOKUP(A27,Dataset!$A:$O,5,0)</f>
        <v>Critical</v>
      </c>
      <c r="C27" s="4" t="str">
        <f aca="false">VLOOKUP(A27,Dataset!$A:$O,7,0)</f>
        <v>Open</v>
      </c>
      <c r="D27" s="22" t="str">
        <f aca="false">IF(AND(B27="Critical",C27="Open"),"Yes","No")</f>
        <v>Yes</v>
      </c>
      <c r="E27" s="12" t="str">
        <f aca="false">IF(OR(B27="Critical",B27="High"),"Yes","No")</f>
        <v>Yes</v>
      </c>
      <c r="F27" s="14" t="str">
        <f aca="false">IF(AND(C27="Resolved",VLOOKUP(A27,Dataset!$A:$O,12,0)="Pass"),"✅ Done","⏳ Pending")</f>
        <v>⏳ Pending</v>
      </c>
      <c r="G27" s="16" t="str">
        <f aca="false">IF(AND(B27="Critical",C27="Open"),"Escalate",IF(AND(B27="High",C27="Open"),"Monitor","OK"))</f>
        <v>Escalate</v>
      </c>
    </row>
    <row r="28" customFormat="false" ht="14.25" hidden="false" customHeight="false" outlineLevel="0" collapsed="false">
      <c r="A28" s="6" t="s">
        <v>25</v>
      </c>
      <c r="B28" s="8" t="str">
        <f aca="false">VLOOKUP(A28,Dataset!$A:$O,5,0)</f>
        <v>High</v>
      </c>
      <c r="C28" s="8" t="str">
        <f aca="false">VLOOKUP(A28,Dataset!$A:$O,7,0)</f>
        <v>Resolved</v>
      </c>
      <c r="D28" s="23" t="str">
        <f aca="false">IF(AND(B28="Critical",C28="Open"),"Yes","No")</f>
        <v>No</v>
      </c>
      <c r="E28" s="13" t="str">
        <f aca="false">IF(OR(B28="Critical",B28="High"),"Yes","No")</f>
        <v>Yes</v>
      </c>
      <c r="F28" s="15" t="str">
        <f aca="false">IF(AND(C28="Resolved",VLOOKUP(A28,Dataset!$A:$O,12,0)="Pass"),"✅ Done","⏳ Pending")</f>
        <v>✅ Done</v>
      </c>
      <c r="G28" s="17" t="str">
        <f aca="false">IF(AND(B28="Critical",C28="Open"),"Escalate",IF(AND(B28="High",C28="Open"),"Monitor","OK"))</f>
        <v>OK</v>
      </c>
    </row>
    <row r="29" customFormat="false" ht="14.25" hidden="false" customHeight="false" outlineLevel="0" collapsed="false">
      <c r="A29" s="2" t="s">
        <v>31</v>
      </c>
      <c r="B29" s="4" t="str">
        <f aca="false">VLOOKUP(A29,Dataset!$A:$O,5,0)</f>
        <v>Medium</v>
      </c>
      <c r="C29" s="4" t="str">
        <f aca="false">VLOOKUP(A29,Dataset!$A:$O,7,0)</f>
        <v>Open</v>
      </c>
      <c r="D29" s="22" t="str">
        <f aca="false">IF(AND(B29="Critical",C29="Open"),"Yes","No")</f>
        <v>No</v>
      </c>
      <c r="E29" s="12" t="str">
        <f aca="false">IF(OR(B29="Critical",B29="High"),"Yes","No")</f>
        <v>No</v>
      </c>
      <c r="F29" s="14" t="str">
        <f aca="false">IF(AND(C29="Resolved",VLOOKUP(A29,Dataset!$A:$O,12,0)="Pass"),"✅ Done","⏳ Pending")</f>
        <v>⏳ Pending</v>
      </c>
      <c r="G29" s="16" t="str">
        <f aca="false">IF(AND(B29="Critical",C29="Open"),"Escalate",IF(AND(B29="High",C29="Open"),"Monitor","OK"))</f>
        <v>OK</v>
      </c>
    </row>
    <row r="30" customFormat="false" ht="14.25" hidden="false" customHeight="false" outlineLevel="0" collapsed="false">
      <c r="A30" s="6" t="s">
        <v>37</v>
      </c>
      <c r="B30" s="8" t="str">
        <f aca="false">VLOOKUP(A30,Dataset!$A:$O,5,0)</f>
        <v>Low</v>
      </c>
      <c r="C30" s="8" t="str">
        <f aca="false">VLOOKUP(A30,Dataset!$A:$O,7,0)</f>
        <v>Closed</v>
      </c>
      <c r="D30" s="23" t="str">
        <f aca="false">IF(AND(B30="Critical",C30="Open"),"Yes","No")</f>
        <v>No</v>
      </c>
      <c r="E30" s="13" t="str">
        <f aca="false">IF(OR(B30="Critical",B30="High"),"Yes","No")</f>
        <v>No</v>
      </c>
      <c r="F30" s="15" t="str">
        <f aca="false">IF(AND(C30="Resolved",VLOOKUP(A30,Dataset!$A:$O,12,0)="Pass"),"✅ Done","⏳ Pending")</f>
        <v>⏳ Pending</v>
      </c>
      <c r="G30" s="17" t="str">
        <f aca="false">IF(AND(B30="Critical",C30="Open"),"Escalate",IF(AND(B30="High",C30="Open"),"Monitor","OK"))</f>
        <v>OK</v>
      </c>
    </row>
    <row r="31" customFormat="false" ht="14.25" hidden="false" customHeight="false" outlineLevel="0" collapsed="false">
      <c r="A31" s="2" t="s">
        <v>42</v>
      </c>
      <c r="B31" s="4" t="str">
        <f aca="false">VLOOKUP(A31,Dataset!$A:$O,5,0)</f>
        <v>Critical</v>
      </c>
      <c r="C31" s="4" t="str">
        <f aca="false">VLOOKUP(A31,Dataset!$A:$O,7,0)</f>
        <v>Resolved</v>
      </c>
      <c r="D31" s="22" t="str">
        <f aca="false">IF(AND(B31="Critical",C31="Open"),"Yes","No")</f>
        <v>No</v>
      </c>
      <c r="E31" s="12" t="str">
        <f aca="false">IF(OR(B31="Critical",B31="High"),"Yes","No")</f>
        <v>Yes</v>
      </c>
      <c r="F31" s="14" t="str">
        <f aca="false">IF(AND(C31="Resolved",VLOOKUP(A31,Dataset!$A:$O,12,0)="Pass"),"✅ Done","⏳ Pending")</f>
        <v>✅ Done</v>
      </c>
      <c r="G31" s="16" t="str">
        <f aca="false">IF(AND(B31="Critical",C31="Open"),"Escalate",IF(AND(B31="High",C31="Open"),"Monitor","OK"))</f>
        <v>OK</v>
      </c>
    </row>
    <row r="32" customFormat="false" ht="14.25" hidden="false" customHeight="false" outlineLevel="0" collapsed="false">
      <c r="A32" s="6" t="s">
        <v>46</v>
      </c>
      <c r="B32" s="8" t="str">
        <f aca="false">VLOOKUP(A32,Dataset!$A:$O,5,0)</f>
        <v>High</v>
      </c>
      <c r="C32" s="8" t="str">
        <f aca="false">VLOOKUP(A32,Dataset!$A:$O,7,0)</f>
        <v>Open</v>
      </c>
      <c r="D32" s="23" t="str">
        <f aca="false">IF(AND(B32="Critical",C32="Open"),"Yes","No")</f>
        <v>No</v>
      </c>
      <c r="E32" s="13" t="str">
        <f aca="false">IF(OR(B32="Critical",B32="High"),"Yes","No")</f>
        <v>Yes</v>
      </c>
      <c r="F32" s="15" t="str">
        <f aca="false">IF(AND(C32="Resolved",VLOOKUP(A32,Dataset!$A:$O,12,0)="Pass"),"✅ Done","⏳ Pending")</f>
        <v>⏳ Pending</v>
      </c>
      <c r="G32" s="17" t="str">
        <f aca="false">IF(AND(B32="Critical",C32="Open"),"Escalate",IF(AND(B32="High",C32="Open"),"Monitor","OK"))</f>
        <v>Monitor</v>
      </c>
    </row>
    <row r="33" customFormat="false" ht="14.25" hidden="false" customHeight="false" outlineLevel="0" collapsed="false">
      <c r="A33" s="2" t="s">
        <v>51</v>
      </c>
      <c r="B33" s="4" t="str">
        <f aca="false">VLOOKUP(A33,Dataset!$A:$O,5,0)</f>
        <v>Medium</v>
      </c>
      <c r="C33" s="4" t="str">
        <f aca="false">VLOOKUP(A33,Dataset!$A:$O,7,0)</f>
        <v>Closed</v>
      </c>
      <c r="D33" s="22" t="str">
        <f aca="false">IF(AND(B33="Critical",C33="Open"),"Yes","No")</f>
        <v>No</v>
      </c>
      <c r="E33" s="12" t="str">
        <f aca="false">IF(OR(B33="Critical",B33="High"),"Yes","No")</f>
        <v>No</v>
      </c>
      <c r="F33" s="14" t="str">
        <f aca="false">IF(AND(C33="Resolved",VLOOKUP(A33,Dataset!$A:$O,12,0)="Pass"),"✅ Done","⏳ Pending")</f>
        <v>⏳ Pending</v>
      </c>
      <c r="G33" s="16" t="str">
        <f aca="false">IF(AND(B33="Critical",C33="Open"),"Escalate",IF(AND(B33="High",C33="Open"),"Monitor","OK"))</f>
        <v>OK</v>
      </c>
    </row>
    <row r="34" customFormat="false" ht="14.25" hidden="false" customHeight="false" outlineLevel="0" collapsed="false">
      <c r="A34" s="6" t="s">
        <v>53</v>
      </c>
      <c r="B34" s="8" t="str">
        <f aca="false">VLOOKUP(A34,Dataset!$A:$O,5,0)</f>
        <v>Low</v>
      </c>
      <c r="C34" s="8" t="str">
        <f aca="false">VLOOKUP(A34,Dataset!$A:$O,7,0)</f>
        <v>Resolved</v>
      </c>
      <c r="D34" s="23" t="str">
        <f aca="false">IF(AND(B34="Critical",C34="Open"),"Yes","No")</f>
        <v>No</v>
      </c>
      <c r="E34" s="13" t="str">
        <f aca="false">IF(OR(B34="Critical",B34="High"),"Yes","No")</f>
        <v>No</v>
      </c>
      <c r="F34" s="15" t="str">
        <f aca="false">IF(AND(C34="Resolved",VLOOKUP(A34,Dataset!$A:$O,12,0)="Pass"),"✅ Done","⏳ Pending")</f>
        <v>✅ Done</v>
      </c>
      <c r="G34" s="17" t="str">
        <f aca="false">IF(AND(B34="Critical",C34="Open"),"Escalate",IF(AND(B34="High",C34="Open"),"Monitor","OK"))</f>
        <v>OK</v>
      </c>
    </row>
    <row r="35" customFormat="false" ht="14.25" hidden="false" customHeight="false" outlineLevel="0" collapsed="false">
      <c r="A35" s="2" t="s">
        <v>55</v>
      </c>
      <c r="B35" s="4" t="str">
        <f aca="false">VLOOKUP(A35,Dataset!$A:$O,5,0)</f>
        <v>Critical</v>
      </c>
      <c r="C35" s="4" t="str">
        <f aca="false">VLOOKUP(A35,Dataset!$A:$O,7,0)</f>
        <v>Open</v>
      </c>
      <c r="D35" s="22" t="str">
        <f aca="false">IF(AND(B35="Critical",C35="Open"),"Yes","No")</f>
        <v>Yes</v>
      </c>
      <c r="E35" s="12" t="str">
        <f aca="false">IF(OR(B35="Critical",B35="High"),"Yes","No")</f>
        <v>Yes</v>
      </c>
      <c r="F35" s="14" t="str">
        <f aca="false">IF(AND(C35="Resolved",VLOOKUP(A35,Dataset!$A:$O,12,0)="Pass"),"✅ Done","⏳ Pending")</f>
        <v>⏳ Pending</v>
      </c>
      <c r="G35" s="16" t="str">
        <f aca="false">IF(AND(B35="Critical",C35="Open"),"Escalate",IF(AND(B35="High",C35="Open"),"Monitor","OK"))</f>
        <v>Escalate</v>
      </c>
    </row>
    <row r="36" customFormat="false" ht="14.25" hidden="false" customHeight="false" outlineLevel="0" collapsed="false">
      <c r="A36" s="6" t="s">
        <v>57</v>
      </c>
      <c r="B36" s="8" t="str">
        <f aca="false">VLOOKUP(A36,Dataset!$A:$O,5,0)</f>
        <v>High</v>
      </c>
      <c r="C36" s="8" t="str">
        <f aca="false">VLOOKUP(A36,Dataset!$A:$O,7,0)</f>
        <v>Resolved</v>
      </c>
      <c r="D36" s="23" t="str">
        <f aca="false">IF(AND(B36="Critical",C36="Open"),"Yes","No")</f>
        <v>No</v>
      </c>
      <c r="E36" s="13" t="str">
        <f aca="false">IF(OR(B36="Critical",B36="High"),"Yes","No")</f>
        <v>Yes</v>
      </c>
      <c r="F36" s="15" t="str">
        <f aca="false">IF(AND(C36="Resolved",VLOOKUP(A36,Dataset!$A:$O,12,0)="Pass"),"✅ Done","⏳ Pending")</f>
        <v>✅ Done</v>
      </c>
      <c r="G36" s="17" t="str">
        <f aca="false">IF(AND(B36="Critical",C36="Open"),"Escalate",IF(AND(B36="High",C36="Open"),"Monitor","OK"))</f>
        <v>OK</v>
      </c>
    </row>
    <row r="37" customFormat="false" ht="14.25" hidden="false" customHeight="false" outlineLevel="0" collapsed="false">
      <c r="A37" s="2" t="s">
        <v>59</v>
      </c>
      <c r="B37" s="4" t="str">
        <f aca="false">VLOOKUP(A37,Dataset!$A:$O,5,0)</f>
        <v>Medium</v>
      </c>
      <c r="C37" s="4" t="str">
        <f aca="false">VLOOKUP(A37,Dataset!$A:$O,7,0)</f>
        <v>Open</v>
      </c>
      <c r="D37" s="22" t="str">
        <f aca="false">IF(AND(B37="Critical",C37="Open"),"Yes","No")</f>
        <v>No</v>
      </c>
      <c r="E37" s="12" t="str">
        <f aca="false">IF(OR(B37="Critical",B37="High"),"Yes","No")</f>
        <v>No</v>
      </c>
      <c r="F37" s="14" t="str">
        <f aca="false">IF(AND(C37="Resolved",VLOOKUP(A37,Dataset!$A:$O,12,0)="Pass"),"✅ Done","⏳ Pending")</f>
        <v>⏳ Pending</v>
      </c>
      <c r="G37" s="16" t="str">
        <f aca="false">IF(AND(B37="Critical",C37="Open"),"Escalate",IF(AND(B37="High",C37="Open"),"Monitor","OK"))</f>
        <v>OK</v>
      </c>
    </row>
    <row r="38" customFormat="false" ht="14.25" hidden="false" customHeight="false" outlineLevel="0" collapsed="false">
      <c r="A38" s="6" t="s">
        <v>61</v>
      </c>
      <c r="B38" s="8" t="str">
        <f aca="false">VLOOKUP(A38,Dataset!$A:$O,5,0)</f>
        <v>Low</v>
      </c>
      <c r="C38" s="8" t="str">
        <f aca="false">VLOOKUP(A38,Dataset!$A:$O,7,0)</f>
        <v>Closed</v>
      </c>
      <c r="D38" s="23" t="str">
        <f aca="false">IF(AND(B38="Critical",C38="Open"),"Yes","No")</f>
        <v>No</v>
      </c>
      <c r="E38" s="13" t="str">
        <f aca="false">IF(OR(B38="Critical",B38="High"),"Yes","No")</f>
        <v>No</v>
      </c>
      <c r="F38" s="15" t="str">
        <f aca="false">IF(AND(C38="Resolved",VLOOKUP(A38,Dataset!$A:$O,12,0)="Pass"),"✅ Done","⏳ Pending")</f>
        <v>⏳ Pending</v>
      </c>
      <c r="G38" s="17" t="str">
        <f aca="false">IF(AND(B38="Critical",C38="Open"),"Escalate",IF(AND(B38="High",C38="Open"),"Monitor","OK"))</f>
        <v>OK</v>
      </c>
    </row>
    <row r="39" customFormat="false" ht="14.25" hidden="false" customHeight="false" outlineLevel="0" collapsed="false">
      <c r="A39" s="2" t="s">
        <v>63</v>
      </c>
      <c r="B39" s="4" t="str">
        <f aca="false">VLOOKUP(A39,Dataset!$A:$O,5,0)</f>
        <v>Critical</v>
      </c>
      <c r="C39" s="4" t="str">
        <f aca="false">VLOOKUP(A39,Dataset!$A:$O,7,0)</f>
        <v>Resolved</v>
      </c>
      <c r="D39" s="22" t="str">
        <f aca="false">IF(AND(B39="Critical",C39="Open"),"Yes","No")</f>
        <v>No</v>
      </c>
      <c r="E39" s="12" t="str">
        <f aca="false">IF(OR(B39="Critical",B39="High"),"Yes","No")</f>
        <v>Yes</v>
      </c>
      <c r="F39" s="14" t="str">
        <f aca="false">IF(AND(C39="Resolved",VLOOKUP(A39,Dataset!$A:$O,12,0)="Pass"),"✅ Done","⏳ Pending")</f>
        <v>✅ Done</v>
      </c>
      <c r="G39" s="16" t="str">
        <f aca="false">IF(AND(B39="Critical",C39="Open"),"Escalate",IF(AND(B39="High",C39="Open"),"Monitor","OK"))</f>
        <v>OK</v>
      </c>
    </row>
    <row r="40" customFormat="false" ht="14.25" hidden="false" customHeight="false" outlineLevel="0" collapsed="false">
      <c r="A40" s="6" t="s">
        <v>65</v>
      </c>
      <c r="B40" s="8" t="str">
        <f aca="false">VLOOKUP(A40,Dataset!$A:$O,5,0)</f>
        <v>High</v>
      </c>
      <c r="C40" s="8" t="str">
        <f aca="false">VLOOKUP(A40,Dataset!$A:$O,7,0)</f>
        <v>Open</v>
      </c>
      <c r="D40" s="23" t="str">
        <f aca="false">IF(AND(B40="Critical",C40="Open"),"Yes","No")</f>
        <v>No</v>
      </c>
      <c r="E40" s="13" t="str">
        <f aca="false">IF(OR(B40="Critical",B40="High"),"Yes","No")</f>
        <v>Yes</v>
      </c>
      <c r="F40" s="15" t="str">
        <f aca="false">IF(AND(C40="Resolved",VLOOKUP(A40,Dataset!$A:$O,12,0)="Pass"),"✅ Done","⏳ Pending")</f>
        <v>⏳ Pending</v>
      </c>
      <c r="G40" s="17" t="str">
        <f aca="false">IF(AND(B40="Critical",C40="Open"),"Escalate",IF(AND(B40="High",C40="Open"),"Monitor","OK"))</f>
        <v>Monitor</v>
      </c>
    </row>
    <row r="41" customFormat="false" ht="14.25" hidden="false" customHeight="false" outlineLevel="0" collapsed="false">
      <c r="A41" s="2" t="s">
        <v>67</v>
      </c>
      <c r="B41" s="4" t="str">
        <f aca="false">VLOOKUP(A41,Dataset!$A:$O,5,0)</f>
        <v>Medium</v>
      </c>
      <c r="C41" s="4" t="str">
        <f aca="false">VLOOKUP(A41,Dataset!$A:$O,7,0)</f>
        <v>Closed</v>
      </c>
      <c r="D41" s="22" t="str">
        <f aca="false">IF(AND(B41="Critical",C41="Open"),"Yes","No")</f>
        <v>No</v>
      </c>
      <c r="E41" s="12" t="str">
        <f aca="false">IF(OR(B41="Critical",B41="High"),"Yes","No")</f>
        <v>No</v>
      </c>
      <c r="F41" s="14" t="str">
        <f aca="false">IF(AND(C41="Resolved",VLOOKUP(A41,Dataset!$A:$O,12,0)="Pass"),"✅ Done","⏳ Pending")</f>
        <v>⏳ Pending</v>
      </c>
      <c r="G41" s="16" t="str">
        <f aca="false">IF(AND(B41="Critical",C41="Open"),"Escalate",IF(AND(B41="High",C41="Open"),"Monitor","OK"))</f>
        <v>OK</v>
      </c>
    </row>
    <row r="42" customFormat="false" ht="14.25" hidden="false" customHeight="false" outlineLevel="0" collapsed="false">
      <c r="A42" s="6" t="s">
        <v>69</v>
      </c>
      <c r="B42" s="8" t="str">
        <f aca="false">VLOOKUP(A42,Dataset!$A:$O,5,0)</f>
        <v>Low</v>
      </c>
      <c r="C42" s="8" t="str">
        <f aca="false">VLOOKUP(A42,Dataset!$A:$O,7,0)</f>
        <v>Resolved</v>
      </c>
      <c r="D42" s="23" t="str">
        <f aca="false">IF(AND(B42="Critical",C42="Open"),"Yes","No")</f>
        <v>No</v>
      </c>
      <c r="E42" s="13" t="str">
        <f aca="false">IF(OR(B42="Critical",B42="High"),"Yes","No")</f>
        <v>No</v>
      </c>
      <c r="F42" s="15" t="str">
        <f aca="false">IF(AND(C42="Resolved",VLOOKUP(A42,Dataset!$A:$O,12,0)="Pass"),"✅ Done","⏳ Pending")</f>
        <v>✅ Done</v>
      </c>
      <c r="G42" s="17" t="str">
        <f aca="false">IF(AND(B42="Critical",C42="Open"),"Escalate",IF(AND(B42="High",C42="Open"),"Monitor","OK"))</f>
        <v>OK</v>
      </c>
    </row>
    <row r="43" customFormat="false" ht="14.25" hidden="false" customHeight="false" outlineLevel="0" collapsed="false">
      <c r="A43" s="2" t="s">
        <v>71</v>
      </c>
      <c r="B43" s="4" t="str">
        <f aca="false">VLOOKUP(A43,Dataset!$A:$O,5,0)</f>
        <v>Critical</v>
      </c>
      <c r="C43" s="4" t="str">
        <f aca="false">VLOOKUP(A43,Dataset!$A:$O,7,0)</f>
        <v>Open</v>
      </c>
      <c r="D43" s="22" t="str">
        <f aca="false">IF(AND(B43="Critical",C43="Open"),"Yes","No")</f>
        <v>Yes</v>
      </c>
      <c r="E43" s="12" t="str">
        <f aca="false">IF(OR(B43="Critical",B43="High"),"Yes","No")</f>
        <v>Yes</v>
      </c>
      <c r="F43" s="14" t="str">
        <f aca="false">IF(AND(C43="Resolved",VLOOKUP(A43,Dataset!$A:$O,12,0)="Pass"),"✅ Done","⏳ Pending")</f>
        <v>⏳ Pending</v>
      </c>
      <c r="G43" s="16" t="str">
        <f aca="false">IF(AND(B43="Critical",C43="Open"),"Escalate",IF(AND(B43="High",C43="Open"),"Monitor","OK"))</f>
        <v>Escalate</v>
      </c>
    </row>
    <row r="44" customFormat="false" ht="14.25" hidden="false" customHeight="false" outlineLevel="0" collapsed="false">
      <c r="A44" s="6" t="s">
        <v>73</v>
      </c>
      <c r="B44" s="8" t="str">
        <f aca="false">VLOOKUP(A44,Dataset!$A:$O,5,0)</f>
        <v>High</v>
      </c>
      <c r="C44" s="8" t="str">
        <f aca="false">VLOOKUP(A44,Dataset!$A:$O,7,0)</f>
        <v>Resolved</v>
      </c>
      <c r="D44" s="23" t="str">
        <f aca="false">IF(AND(B44="Critical",C44="Open"),"Yes","No")</f>
        <v>No</v>
      </c>
      <c r="E44" s="13" t="str">
        <f aca="false">IF(OR(B44="Critical",B44="High"),"Yes","No")</f>
        <v>Yes</v>
      </c>
      <c r="F44" s="15" t="str">
        <f aca="false">IF(AND(C44="Resolved",VLOOKUP(A44,Dataset!$A:$O,12,0)="Pass"),"✅ Done","⏳ Pending")</f>
        <v>✅ Done</v>
      </c>
      <c r="G44" s="17" t="str">
        <f aca="false">IF(AND(B44="Critical",C44="Open"),"Escalate",IF(AND(B44="High",C44="Open"),"Monitor","OK"))</f>
        <v>OK</v>
      </c>
    </row>
    <row r="45" customFormat="false" ht="14.25" hidden="false" customHeight="false" outlineLevel="0" collapsed="false">
      <c r="A45" s="2" t="s">
        <v>75</v>
      </c>
      <c r="B45" s="4" t="str">
        <f aca="false">VLOOKUP(A45,Dataset!$A:$O,5,0)</f>
        <v>Medium</v>
      </c>
      <c r="C45" s="4" t="str">
        <f aca="false">VLOOKUP(A45,Dataset!$A:$O,7,0)</f>
        <v>Open</v>
      </c>
      <c r="D45" s="22" t="str">
        <f aca="false">IF(AND(B45="Critical",C45="Open"),"Yes","No")</f>
        <v>No</v>
      </c>
      <c r="E45" s="12" t="str">
        <f aca="false">IF(OR(B45="Critical",B45="High"),"Yes","No")</f>
        <v>No</v>
      </c>
      <c r="F45" s="14" t="str">
        <f aca="false">IF(AND(C45="Resolved",VLOOKUP(A45,Dataset!$A:$O,12,0)="Pass"),"✅ Done","⏳ Pending")</f>
        <v>⏳ Pending</v>
      </c>
      <c r="G45" s="16" t="str">
        <f aca="false">IF(AND(B45="Critical",C45="Open"),"Escalate",IF(AND(B45="High",C45="Open"),"Monitor","OK"))</f>
        <v>OK</v>
      </c>
    </row>
    <row r="46" customFormat="false" ht="14.25" hidden="false" customHeight="false" outlineLevel="0" collapsed="false">
      <c r="A46" s="6" t="s">
        <v>77</v>
      </c>
      <c r="B46" s="8" t="str">
        <f aca="false">VLOOKUP(A46,Dataset!$A:$O,5,0)</f>
        <v>Low</v>
      </c>
      <c r="C46" s="8" t="str">
        <f aca="false">VLOOKUP(A46,Dataset!$A:$O,7,0)</f>
        <v>Closed</v>
      </c>
      <c r="D46" s="23" t="str">
        <f aca="false">IF(AND(B46="Critical",C46="Open"),"Yes","No")</f>
        <v>No</v>
      </c>
      <c r="E46" s="13" t="str">
        <f aca="false">IF(OR(B46="Critical",B46="High"),"Yes","No")</f>
        <v>No</v>
      </c>
      <c r="F46" s="15" t="str">
        <f aca="false">IF(AND(C46="Resolved",VLOOKUP(A46,Dataset!$A:$O,12,0)="Pass"),"✅ Done","⏳ Pending")</f>
        <v>⏳ Pending</v>
      </c>
      <c r="G46" s="17" t="str">
        <f aca="false">IF(AND(B46="Critical",C46="Open"),"Escalate",IF(AND(B46="High",C46="Open"),"Monitor","OK"))</f>
        <v>OK</v>
      </c>
    </row>
  </sheetData>
  <mergeCells count="3">
    <mergeCell ref="A1:I1"/>
    <mergeCell ref="A2:G2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9" activePane="bottomLeft" state="frozen"/>
      <selection pane="topLeft" activeCell="A1" activeCellId="0" sqref="A1"/>
      <selection pane="bottomLeft" activeCell="H4" activeCellId="0" sqref="H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6.67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0" t="s">
        <v>107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21.75" hidden="false" customHeight="true" outlineLevel="0" collapsed="false">
      <c r="A2" s="11" t="s">
        <v>108</v>
      </c>
      <c r="B2" s="11"/>
      <c r="C2" s="11"/>
      <c r="D2" s="11"/>
      <c r="E2" s="11"/>
      <c r="F2" s="11"/>
      <c r="G2" s="11"/>
    </row>
    <row r="3" customFormat="false" ht="30" hidden="false" customHeight="true" outlineLevel="0" collapsed="false">
      <c r="A3" s="24" t="s">
        <v>109</v>
      </c>
      <c r="B3" s="24"/>
      <c r="C3" s="24"/>
      <c r="D3" s="24"/>
      <c r="E3" s="24"/>
      <c r="F3" s="24"/>
      <c r="G3" s="24"/>
    </row>
    <row r="4" customFormat="false" ht="14.25" hidden="false" customHeight="false" outlineLevel="0" collapsed="false">
      <c r="A4" s="1" t="s">
        <v>110</v>
      </c>
      <c r="B4" s="1" t="s">
        <v>111</v>
      </c>
      <c r="C4" s="1" t="s">
        <v>112</v>
      </c>
    </row>
    <row r="5" customFormat="false" ht="26.25" hidden="false" customHeight="true" outlineLevel="0" collapsed="false">
      <c r="A5" s="25" t="n">
        <f aca="true">TODAY()</f>
        <v>46192</v>
      </c>
      <c r="B5" s="26" t="n">
        <f aca="true">TODAY()</f>
        <v>46192</v>
      </c>
      <c r="C5" s="5" t="s">
        <v>113</v>
      </c>
    </row>
    <row r="6" customFormat="false" ht="26.25" hidden="false" customHeight="true" outlineLevel="0" collapsed="false">
      <c r="A6" s="27" t="n">
        <f aca="true">NOW()</f>
        <v>46192.3840158821</v>
      </c>
      <c r="B6" s="28" t="n">
        <f aca="true">NOW()</f>
        <v>46192.3840158823</v>
      </c>
      <c r="C6" s="9" t="s">
        <v>114</v>
      </c>
    </row>
    <row r="7" customFormat="false" ht="26.25" hidden="false" customHeight="true" outlineLevel="0" collapsed="false">
      <c r="A7" s="25" t="n">
        <f aca="false">DATE(2024,3,15)</f>
        <v>45366</v>
      </c>
      <c r="B7" s="26" t="n">
        <f aca="false">DATE(2024,3,15)</f>
        <v>45366</v>
      </c>
      <c r="C7" s="5" t="s">
        <v>115</v>
      </c>
    </row>
    <row r="8" customFormat="false" ht="14.25" hidden="false" customHeight="false" outlineLevel="0" collapsed="false">
      <c r="A8" s="29" t="n">
        <f aca="true">YEAR(TODAY())</f>
        <v>2026</v>
      </c>
      <c r="B8" s="28" t="n">
        <f aca="true">YEAR(TODAY())</f>
        <v>2026</v>
      </c>
      <c r="C8" s="9" t="s">
        <v>116</v>
      </c>
    </row>
    <row r="9" customFormat="false" ht="26.25" hidden="false" customHeight="true" outlineLevel="0" collapsed="false">
      <c r="A9" s="30" t="n">
        <f aca="true">MONTH(TODAY())</f>
        <v>6</v>
      </c>
      <c r="B9" s="26" t="n">
        <f aca="true">MONTH(TODAY())</f>
        <v>6</v>
      </c>
      <c r="C9" s="5" t="s">
        <v>117</v>
      </c>
    </row>
    <row r="10" customFormat="false" ht="14.25" hidden="false" customHeight="false" outlineLevel="0" collapsed="false">
      <c r="A10" s="29" t="n">
        <f aca="true">DAY(TODAY())</f>
        <v>19</v>
      </c>
      <c r="B10" s="28" t="n">
        <f aca="true">DAY(TODAY())</f>
        <v>19</v>
      </c>
      <c r="C10" s="9" t="s">
        <v>118</v>
      </c>
    </row>
    <row r="11" customFormat="false" ht="39" hidden="false" customHeight="true" outlineLevel="0" collapsed="false">
      <c r="A11" s="30" t="n">
        <f aca="true">TODAY()-DATE(2024,1,1)</f>
        <v>900</v>
      </c>
      <c r="B11" s="26" t="n">
        <f aca="true">TODAY()-DATE(2024,1,1)</f>
        <v>900</v>
      </c>
      <c r="C11" s="5" t="s">
        <v>119</v>
      </c>
    </row>
    <row r="13" customFormat="false" ht="21.75" hidden="false" customHeight="true" outlineLevel="0" collapsed="false">
      <c r="A13" s="11" t="s">
        <v>120</v>
      </c>
      <c r="B13" s="11"/>
      <c r="C13" s="11"/>
      <c r="D13" s="11"/>
      <c r="E13" s="11"/>
      <c r="F13" s="11"/>
      <c r="G13" s="11"/>
      <c r="H13" s="11"/>
      <c r="I13" s="11"/>
    </row>
    <row r="14" customFormat="false" ht="26.25" hidden="false" customHeight="true" outlineLevel="0" collapsed="false">
      <c r="A14" s="1" t="s">
        <v>0</v>
      </c>
      <c r="B14" s="1" t="s">
        <v>121</v>
      </c>
      <c r="C14" s="1" t="s">
        <v>28</v>
      </c>
      <c r="D14" s="1" t="s">
        <v>122</v>
      </c>
      <c r="E14" s="1" t="s">
        <v>123</v>
      </c>
      <c r="F14" s="1" t="s">
        <v>124</v>
      </c>
      <c r="G14" s="1" t="s">
        <v>125</v>
      </c>
      <c r="H14" s="1" t="s">
        <v>6</v>
      </c>
    </row>
    <row r="15" customFormat="false" ht="14.25" hidden="false" customHeight="false" outlineLevel="0" collapsed="false">
      <c r="A15" s="2" t="s">
        <v>15</v>
      </c>
      <c r="B15" s="31" t="n">
        <f aca="false">VLOOKUP(A15,Dataset!$A:$O,8,0)</f>
        <v>45296</v>
      </c>
      <c r="C15" s="31" t="n">
        <f aca="false">IFERROR(VLOOKUP(A15,Dataset!$A:$O,9,0),"Open")</f>
        <v>0</v>
      </c>
      <c r="D15" s="12" t="str">
        <f aca="true">IFERROR(DATEDIF(B15,IF(C15="Open",TODAY(),C15),"D"),"—")</f>
        <v>—</v>
      </c>
      <c r="E15" s="12" t="n">
        <f aca="true">IFERROR(NETWORKDAYS(B15,IF(C15="Open",TODAY(),C15)),"—")</f>
        <v>-32355</v>
      </c>
      <c r="F15" s="32" t="n">
        <f aca="false">IFERROR(EOMONTH(B15,0),"—")</f>
        <v>45322</v>
      </c>
      <c r="G15" s="16" t="n">
        <f aca="false">IFERROR(WEEKNUM(B15,2),"—")</f>
        <v>1</v>
      </c>
      <c r="H15" s="4" t="str">
        <f aca="false">VLOOKUP(A15,Dataset!$A:$O,7,0)</f>
        <v>Open</v>
      </c>
    </row>
    <row r="16" customFormat="false" ht="14.25" hidden="false" customHeight="false" outlineLevel="0" collapsed="false">
      <c r="A16" s="6" t="s">
        <v>25</v>
      </c>
      <c r="B16" s="33" t="n">
        <f aca="false">VLOOKUP(A16,Dataset!$A:$O,8,0)</f>
        <v>45297</v>
      </c>
      <c r="C16" s="33" t="n">
        <f aca="false">IFERROR(VLOOKUP(A16,Dataset!$A:$O,9,0),"Open")</f>
        <v>45299</v>
      </c>
      <c r="D16" s="13" t="n">
        <f aca="true">IFERROR(DATEDIF(B16,IF(C16="Open",TODAY(),C16),"D"),"—")</f>
        <v>2</v>
      </c>
      <c r="E16" s="13" t="n">
        <f aca="true">IFERROR(NETWORKDAYS(B16,IF(C16="Open",TODAY(),C16)),"—")</f>
        <v>1</v>
      </c>
      <c r="F16" s="34" t="n">
        <f aca="false">IFERROR(EOMONTH(B16,0),"—")</f>
        <v>45322</v>
      </c>
      <c r="G16" s="17" t="n">
        <f aca="false">IFERROR(WEEKNUM(B16,2),"—")</f>
        <v>1</v>
      </c>
      <c r="H16" s="8" t="str">
        <f aca="false">VLOOKUP(A16,Dataset!$A:$O,7,0)</f>
        <v>Resolved</v>
      </c>
    </row>
    <row r="17" customFormat="false" ht="14.25" hidden="false" customHeight="false" outlineLevel="0" collapsed="false">
      <c r="A17" s="2" t="s">
        <v>31</v>
      </c>
      <c r="B17" s="31" t="n">
        <f aca="false">VLOOKUP(A17,Dataset!$A:$O,8,0)</f>
        <v>45298</v>
      </c>
      <c r="C17" s="31" t="n">
        <f aca="false">IFERROR(VLOOKUP(A17,Dataset!$A:$O,9,0),"Open")</f>
        <v>0</v>
      </c>
      <c r="D17" s="12" t="str">
        <f aca="true">IFERROR(DATEDIF(B17,IF(C17="Open",TODAY(),C17),"D"),"—")</f>
        <v>—</v>
      </c>
      <c r="E17" s="12" t="n">
        <f aca="true">IFERROR(NETWORKDAYS(B17,IF(C17="Open",TODAY(),C17)),"—")</f>
        <v>-32355</v>
      </c>
      <c r="F17" s="32" t="n">
        <f aca="false">IFERROR(EOMONTH(B17,0),"—")</f>
        <v>45322</v>
      </c>
      <c r="G17" s="16" t="n">
        <f aca="false">IFERROR(WEEKNUM(B17,2),"—")</f>
        <v>1</v>
      </c>
      <c r="H17" s="4" t="str">
        <f aca="false">VLOOKUP(A17,Dataset!$A:$O,7,0)</f>
        <v>Open</v>
      </c>
    </row>
    <row r="18" customFormat="false" ht="14.25" hidden="false" customHeight="false" outlineLevel="0" collapsed="false">
      <c r="A18" s="6" t="s">
        <v>37</v>
      </c>
      <c r="B18" s="33" t="n">
        <f aca="false">VLOOKUP(A18,Dataset!$A:$O,8,0)</f>
        <v>45299</v>
      </c>
      <c r="C18" s="33" t="n">
        <f aca="false">IFERROR(VLOOKUP(A18,Dataset!$A:$O,9,0),"Open")</f>
        <v>45300</v>
      </c>
      <c r="D18" s="13" t="n">
        <f aca="true">IFERROR(DATEDIF(B18,IF(C18="Open",TODAY(),C18),"D"),"—")</f>
        <v>1</v>
      </c>
      <c r="E18" s="13" t="n">
        <f aca="true">IFERROR(NETWORKDAYS(B18,IF(C18="Open",TODAY(),C18)),"—")</f>
        <v>2</v>
      </c>
      <c r="F18" s="34" t="n">
        <f aca="false">IFERROR(EOMONTH(B18,0),"—")</f>
        <v>45322</v>
      </c>
      <c r="G18" s="17" t="n">
        <f aca="false">IFERROR(WEEKNUM(B18,2),"—")</f>
        <v>2</v>
      </c>
      <c r="H18" s="8" t="str">
        <f aca="false">VLOOKUP(A18,Dataset!$A:$O,7,0)</f>
        <v>Closed</v>
      </c>
    </row>
    <row r="19" customFormat="false" ht="14.25" hidden="false" customHeight="false" outlineLevel="0" collapsed="false">
      <c r="A19" s="2" t="s">
        <v>42</v>
      </c>
      <c r="B19" s="31" t="n">
        <f aca="false">VLOOKUP(A19,Dataset!$A:$O,8,0)</f>
        <v>45300</v>
      </c>
      <c r="C19" s="31" t="n">
        <f aca="false">IFERROR(VLOOKUP(A19,Dataset!$A:$O,9,0),"Open")</f>
        <v>45302</v>
      </c>
      <c r="D19" s="12" t="n">
        <f aca="true">IFERROR(DATEDIF(B19,IF(C19="Open",TODAY(),C19),"D"),"—")</f>
        <v>2</v>
      </c>
      <c r="E19" s="12" t="n">
        <f aca="true">IFERROR(NETWORKDAYS(B19,IF(C19="Open",TODAY(),C19)),"—")</f>
        <v>3</v>
      </c>
      <c r="F19" s="32" t="n">
        <f aca="false">IFERROR(EOMONTH(B19,0),"—")</f>
        <v>45322</v>
      </c>
      <c r="G19" s="16" t="n">
        <f aca="false">IFERROR(WEEKNUM(B19,2),"—")</f>
        <v>2</v>
      </c>
      <c r="H19" s="4" t="str">
        <f aca="false">VLOOKUP(A19,Dataset!$A:$O,7,0)</f>
        <v>Resolved</v>
      </c>
    </row>
    <row r="20" customFormat="false" ht="14.25" hidden="false" customHeight="false" outlineLevel="0" collapsed="false">
      <c r="A20" s="6" t="s">
        <v>46</v>
      </c>
      <c r="B20" s="33" t="n">
        <f aca="false">VLOOKUP(A20,Dataset!$A:$O,8,0)</f>
        <v>45301</v>
      </c>
      <c r="C20" s="33" t="n">
        <f aca="false">IFERROR(VLOOKUP(A20,Dataset!$A:$O,9,0),"Open")</f>
        <v>0</v>
      </c>
      <c r="D20" s="13" t="str">
        <f aca="true">IFERROR(DATEDIF(B20,IF(C20="Open",TODAY(),C20),"D"),"—")</f>
        <v>—</v>
      </c>
      <c r="E20" s="13" t="n">
        <f aca="true">IFERROR(NETWORKDAYS(B20,IF(C20="Open",TODAY(),C20)),"—")</f>
        <v>-32358</v>
      </c>
      <c r="F20" s="34" t="n">
        <f aca="false">IFERROR(EOMONTH(B20,0),"—")</f>
        <v>45322</v>
      </c>
      <c r="G20" s="17" t="n">
        <f aca="false">IFERROR(WEEKNUM(B20,2),"—")</f>
        <v>2</v>
      </c>
      <c r="H20" s="8" t="str">
        <f aca="false">VLOOKUP(A20,Dataset!$A:$O,7,0)</f>
        <v>Open</v>
      </c>
    </row>
    <row r="21" customFormat="false" ht="14.25" hidden="false" customHeight="false" outlineLevel="0" collapsed="false">
      <c r="A21" s="2" t="s">
        <v>51</v>
      </c>
      <c r="B21" s="31" t="n">
        <f aca="false">VLOOKUP(A21,Dataset!$A:$O,8,0)</f>
        <v>45302</v>
      </c>
      <c r="C21" s="31" t="n">
        <f aca="false">IFERROR(VLOOKUP(A21,Dataset!$A:$O,9,0),"Open")</f>
        <v>45304</v>
      </c>
      <c r="D21" s="12" t="n">
        <f aca="true">IFERROR(DATEDIF(B21,IF(C21="Open",TODAY(),C21),"D"),"—")</f>
        <v>2</v>
      </c>
      <c r="E21" s="12" t="n">
        <f aca="true">IFERROR(NETWORKDAYS(B21,IF(C21="Open",TODAY(),C21)),"—")</f>
        <v>2</v>
      </c>
      <c r="F21" s="32" t="n">
        <f aca="false">IFERROR(EOMONTH(B21,0),"—")</f>
        <v>45322</v>
      </c>
      <c r="G21" s="16" t="n">
        <f aca="false">IFERROR(WEEKNUM(B21,2),"—")</f>
        <v>2</v>
      </c>
      <c r="H21" s="4" t="str">
        <f aca="false">VLOOKUP(A21,Dataset!$A:$O,7,0)</f>
        <v>Closed</v>
      </c>
    </row>
    <row r="22" customFormat="false" ht="14.25" hidden="false" customHeight="false" outlineLevel="0" collapsed="false">
      <c r="A22" s="6" t="s">
        <v>53</v>
      </c>
      <c r="B22" s="33" t="n">
        <f aca="false">VLOOKUP(A22,Dataset!$A:$O,8,0)</f>
        <v>45303</v>
      </c>
      <c r="C22" s="33" t="n">
        <f aca="false">IFERROR(VLOOKUP(A22,Dataset!$A:$O,9,0),"Open")</f>
        <v>45305</v>
      </c>
      <c r="D22" s="13" t="n">
        <f aca="true">IFERROR(DATEDIF(B22,IF(C22="Open",TODAY(),C22),"D"),"—")</f>
        <v>2</v>
      </c>
      <c r="E22" s="13" t="n">
        <f aca="true">IFERROR(NETWORKDAYS(B22,IF(C22="Open",TODAY(),C22)),"—")</f>
        <v>1</v>
      </c>
      <c r="F22" s="34" t="n">
        <f aca="false">IFERROR(EOMONTH(B22,0),"—")</f>
        <v>45322</v>
      </c>
      <c r="G22" s="17" t="n">
        <f aca="false">IFERROR(WEEKNUM(B22,2),"—")</f>
        <v>2</v>
      </c>
      <c r="H22" s="8" t="str">
        <f aca="false">VLOOKUP(A22,Dataset!$A:$O,7,0)</f>
        <v>Resolved</v>
      </c>
    </row>
    <row r="23" customFormat="false" ht="14.25" hidden="false" customHeight="false" outlineLevel="0" collapsed="false">
      <c r="A23" s="2" t="s">
        <v>55</v>
      </c>
      <c r="B23" s="31" t="n">
        <f aca="false">VLOOKUP(A23,Dataset!$A:$O,8,0)</f>
        <v>45304</v>
      </c>
      <c r="C23" s="31" t="n">
        <f aca="false">IFERROR(VLOOKUP(A23,Dataset!$A:$O,9,0),"Open")</f>
        <v>0</v>
      </c>
      <c r="D23" s="12" t="str">
        <f aca="true">IFERROR(DATEDIF(B23,IF(C23="Open",TODAY(),C23),"D"),"—")</f>
        <v>—</v>
      </c>
      <c r="E23" s="12" t="n">
        <f aca="true">IFERROR(NETWORKDAYS(B23,IF(C23="Open",TODAY(),C23)),"—")</f>
        <v>-32360</v>
      </c>
      <c r="F23" s="32" t="n">
        <f aca="false">IFERROR(EOMONTH(B23,0),"—")</f>
        <v>45322</v>
      </c>
      <c r="G23" s="16" t="n">
        <f aca="false">IFERROR(WEEKNUM(B23,2),"—")</f>
        <v>2</v>
      </c>
      <c r="H23" s="4" t="str">
        <f aca="false">VLOOKUP(A23,Dataset!$A:$O,7,0)</f>
        <v>Open</v>
      </c>
    </row>
    <row r="24" customFormat="false" ht="14.25" hidden="false" customHeight="false" outlineLevel="0" collapsed="false">
      <c r="A24" s="6" t="s">
        <v>57</v>
      </c>
      <c r="B24" s="33" t="n">
        <f aca="false">VLOOKUP(A24,Dataset!$A:$O,8,0)</f>
        <v>45305</v>
      </c>
      <c r="C24" s="33" t="n">
        <f aca="false">IFERROR(VLOOKUP(A24,Dataset!$A:$O,9,0),"Open")</f>
        <v>45307</v>
      </c>
      <c r="D24" s="13" t="n">
        <f aca="true">IFERROR(DATEDIF(B24,IF(C24="Open",TODAY(),C24),"D"),"—")</f>
        <v>2</v>
      </c>
      <c r="E24" s="13" t="n">
        <f aca="true">IFERROR(NETWORKDAYS(B24,IF(C24="Open",TODAY(),C24)),"—")</f>
        <v>2</v>
      </c>
      <c r="F24" s="34" t="n">
        <f aca="false">IFERROR(EOMONTH(B24,0),"—")</f>
        <v>45322</v>
      </c>
      <c r="G24" s="17" t="n">
        <f aca="false">IFERROR(WEEKNUM(B24,2),"—")</f>
        <v>2</v>
      </c>
      <c r="H24" s="8" t="str">
        <f aca="false">VLOOKUP(A24,Dataset!$A:$O,7,0)</f>
        <v>Resolved</v>
      </c>
    </row>
    <row r="25" customFormat="false" ht="14.25" hidden="false" customHeight="false" outlineLevel="0" collapsed="false">
      <c r="A25" s="2" t="s">
        <v>59</v>
      </c>
      <c r="B25" s="31" t="n">
        <f aca="false">VLOOKUP(A25,Dataset!$A:$O,8,0)</f>
        <v>45306</v>
      </c>
      <c r="C25" s="31" t="n">
        <f aca="false">IFERROR(VLOOKUP(A25,Dataset!$A:$O,9,0),"Open")</f>
        <v>0</v>
      </c>
      <c r="D25" s="12" t="str">
        <f aca="true">IFERROR(DATEDIF(B25,IF(C25="Open",TODAY(),C25),"D"),"—")</f>
        <v>—</v>
      </c>
      <c r="E25" s="12" t="n">
        <f aca="true">IFERROR(NETWORKDAYS(B25,IF(C25="Open",TODAY(),C25)),"—")</f>
        <v>-32361</v>
      </c>
      <c r="F25" s="32" t="n">
        <f aca="false">IFERROR(EOMONTH(B25,0),"—")</f>
        <v>45322</v>
      </c>
      <c r="G25" s="16" t="n">
        <f aca="false">IFERROR(WEEKNUM(B25,2),"—")</f>
        <v>3</v>
      </c>
      <c r="H25" s="4" t="str">
        <f aca="false">VLOOKUP(A25,Dataset!$A:$O,7,0)</f>
        <v>Open</v>
      </c>
    </row>
    <row r="26" customFormat="false" ht="14.25" hidden="false" customHeight="false" outlineLevel="0" collapsed="false">
      <c r="A26" s="6" t="s">
        <v>61</v>
      </c>
      <c r="B26" s="33" t="n">
        <f aca="false">VLOOKUP(A26,Dataset!$A:$O,8,0)</f>
        <v>45307</v>
      </c>
      <c r="C26" s="33" t="n">
        <f aca="false">IFERROR(VLOOKUP(A26,Dataset!$A:$O,9,0),"Open")</f>
        <v>45308</v>
      </c>
      <c r="D26" s="13" t="n">
        <f aca="true">IFERROR(DATEDIF(B26,IF(C26="Open",TODAY(),C26),"D"),"—")</f>
        <v>1</v>
      </c>
      <c r="E26" s="13" t="n">
        <f aca="true">IFERROR(NETWORKDAYS(B26,IF(C26="Open",TODAY(),C26)),"—")</f>
        <v>2</v>
      </c>
      <c r="F26" s="34" t="n">
        <f aca="false">IFERROR(EOMONTH(B26,0),"—")</f>
        <v>45322</v>
      </c>
      <c r="G26" s="17" t="n">
        <f aca="false">IFERROR(WEEKNUM(B26,2),"—")</f>
        <v>3</v>
      </c>
      <c r="H26" s="8" t="str">
        <f aca="false">VLOOKUP(A26,Dataset!$A:$O,7,0)</f>
        <v>Closed</v>
      </c>
    </row>
    <row r="27" customFormat="false" ht="14.25" hidden="false" customHeight="false" outlineLevel="0" collapsed="false">
      <c r="A27" s="2" t="s">
        <v>63</v>
      </c>
      <c r="B27" s="31" t="n">
        <f aca="false">VLOOKUP(A27,Dataset!$A:$O,8,0)</f>
        <v>45308</v>
      </c>
      <c r="C27" s="31" t="n">
        <f aca="false">IFERROR(VLOOKUP(A27,Dataset!$A:$O,9,0),"Open")</f>
        <v>45310</v>
      </c>
      <c r="D27" s="12" t="n">
        <f aca="true">IFERROR(DATEDIF(B27,IF(C27="Open",TODAY(),C27),"D"),"—")</f>
        <v>2</v>
      </c>
      <c r="E27" s="12" t="n">
        <f aca="true">IFERROR(NETWORKDAYS(B27,IF(C27="Open",TODAY(),C27)),"—")</f>
        <v>3</v>
      </c>
      <c r="F27" s="32" t="n">
        <f aca="false">IFERROR(EOMONTH(B27,0),"—")</f>
        <v>45322</v>
      </c>
      <c r="G27" s="16" t="n">
        <f aca="false">IFERROR(WEEKNUM(B27,2),"—")</f>
        <v>3</v>
      </c>
      <c r="H27" s="4" t="str">
        <f aca="false">VLOOKUP(A27,Dataset!$A:$O,7,0)</f>
        <v>Resolved</v>
      </c>
    </row>
    <row r="28" customFormat="false" ht="14.25" hidden="false" customHeight="false" outlineLevel="0" collapsed="false">
      <c r="A28" s="6" t="s">
        <v>65</v>
      </c>
      <c r="B28" s="33" t="n">
        <f aca="false">VLOOKUP(A28,Dataset!$A:$O,8,0)</f>
        <v>45309</v>
      </c>
      <c r="C28" s="33" t="n">
        <f aca="false">IFERROR(VLOOKUP(A28,Dataset!$A:$O,9,0),"Open")</f>
        <v>0</v>
      </c>
      <c r="D28" s="13" t="str">
        <f aca="true">IFERROR(DATEDIF(B28,IF(C28="Open",TODAY(),C28),"D"),"—")</f>
        <v>—</v>
      </c>
      <c r="E28" s="13" t="n">
        <f aca="true">IFERROR(NETWORKDAYS(B28,IF(C28="Open",TODAY(),C28)),"—")</f>
        <v>-32364</v>
      </c>
      <c r="F28" s="34" t="n">
        <f aca="false">IFERROR(EOMONTH(B28,0),"—")</f>
        <v>45322</v>
      </c>
      <c r="G28" s="17" t="n">
        <f aca="false">IFERROR(WEEKNUM(B28,2),"—")</f>
        <v>3</v>
      </c>
      <c r="H28" s="8" t="str">
        <f aca="false">VLOOKUP(A28,Dataset!$A:$O,7,0)</f>
        <v>Open</v>
      </c>
    </row>
    <row r="29" customFormat="false" ht="14.25" hidden="false" customHeight="false" outlineLevel="0" collapsed="false">
      <c r="A29" s="2" t="s">
        <v>67</v>
      </c>
      <c r="B29" s="31" t="n">
        <f aca="false">VLOOKUP(A29,Dataset!$A:$O,8,0)</f>
        <v>45310</v>
      </c>
      <c r="C29" s="31" t="n">
        <f aca="false">IFERROR(VLOOKUP(A29,Dataset!$A:$O,9,0),"Open")</f>
        <v>45312</v>
      </c>
      <c r="D29" s="12" t="n">
        <f aca="true">IFERROR(DATEDIF(B29,IF(C29="Open",TODAY(),C29),"D"),"—")</f>
        <v>2</v>
      </c>
      <c r="E29" s="12" t="n">
        <f aca="true">IFERROR(NETWORKDAYS(B29,IF(C29="Open",TODAY(),C29)),"—")</f>
        <v>1</v>
      </c>
      <c r="F29" s="32" t="n">
        <f aca="false">IFERROR(EOMONTH(B29,0),"—")</f>
        <v>45322</v>
      </c>
      <c r="G29" s="16" t="n">
        <f aca="false">IFERROR(WEEKNUM(B29,2),"—")</f>
        <v>3</v>
      </c>
      <c r="H29" s="4" t="str">
        <f aca="false">VLOOKUP(A29,Dataset!$A:$O,7,0)</f>
        <v>Closed</v>
      </c>
    </row>
    <row r="30" customFormat="false" ht="14.25" hidden="false" customHeight="false" outlineLevel="0" collapsed="false">
      <c r="A30" s="6" t="s">
        <v>69</v>
      </c>
      <c r="B30" s="33" t="n">
        <f aca="false">VLOOKUP(A30,Dataset!$A:$O,8,0)</f>
        <v>45311</v>
      </c>
      <c r="C30" s="33" t="n">
        <f aca="false">IFERROR(VLOOKUP(A30,Dataset!$A:$O,9,0),"Open")</f>
        <v>45313</v>
      </c>
      <c r="D30" s="13" t="n">
        <f aca="true">IFERROR(DATEDIF(B30,IF(C30="Open",TODAY(),C30),"D"),"—")</f>
        <v>2</v>
      </c>
      <c r="E30" s="13" t="n">
        <f aca="true">IFERROR(NETWORKDAYS(B30,IF(C30="Open",TODAY(),C30)),"—")</f>
        <v>1</v>
      </c>
      <c r="F30" s="34" t="n">
        <f aca="false">IFERROR(EOMONTH(B30,0),"—")</f>
        <v>45322</v>
      </c>
      <c r="G30" s="17" t="n">
        <f aca="false">IFERROR(WEEKNUM(B30,2),"—")</f>
        <v>3</v>
      </c>
      <c r="H30" s="8" t="str">
        <f aca="false">VLOOKUP(A30,Dataset!$A:$O,7,0)</f>
        <v>Resolved</v>
      </c>
    </row>
    <row r="31" customFormat="false" ht="14.25" hidden="false" customHeight="false" outlineLevel="0" collapsed="false">
      <c r="A31" s="2" t="s">
        <v>71</v>
      </c>
      <c r="B31" s="31" t="n">
        <f aca="false">VLOOKUP(A31,Dataset!$A:$O,8,0)</f>
        <v>45312</v>
      </c>
      <c r="C31" s="31" t="n">
        <f aca="false">IFERROR(VLOOKUP(A31,Dataset!$A:$O,9,0),"Open")</f>
        <v>0</v>
      </c>
      <c r="D31" s="12" t="str">
        <f aca="true">IFERROR(DATEDIF(B31,IF(C31="Open",TODAY(),C31),"D"),"—")</f>
        <v>—</v>
      </c>
      <c r="E31" s="12" t="n">
        <f aca="true">IFERROR(NETWORKDAYS(B31,IF(C31="Open",TODAY(),C31)),"—")</f>
        <v>-32365</v>
      </c>
      <c r="F31" s="32" t="n">
        <f aca="false">IFERROR(EOMONTH(B31,0),"—")</f>
        <v>45322</v>
      </c>
      <c r="G31" s="16" t="n">
        <f aca="false">IFERROR(WEEKNUM(B31,2),"—")</f>
        <v>3</v>
      </c>
      <c r="H31" s="4" t="str">
        <f aca="false">VLOOKUP(A31,Dataset!$A:$O,7,0)</f>
        <v>Open</v>
      </c>
    </row>
    <row r="32" customFormat="false" ht="14.25" hidden="false" customHeight="false" outlineLevel="0" collapsed="false">
      <c r="A32" s="6" t="s">
        <v>73</v>
      </c>
      <c r="B32" s="33" t="n">
        <f aca="false">VLOOKUP(A32,Dataset!$A:$O,8,0)</f>
        <v>45313</v>
      </c>
      <c r="C32" s="33" t="n">
        <f aca="false">IFERROR(VLOOKUP(A32,Dataset!$A:$O,9,0),"Open")</f>
        <v>45315</v>
      </c>
      <c r="D32" s="13" t="n">
        <f aca="true">IFERROR(DATEDIF(B32,IF(C32="Open",TODAY(),C32),"D"),"—")</f>
        <v>2</v>
      </c>
      <c r="E32" s="13" t="n">
        <f aca="true">IFERROR(NETWORKDAYS(B32,IF(C32="Open",TODAY(),C32)),"—")</f>
        <v>3</v>
      </c>
      <c r="F32" s="34" t="n">
        <f aca="false">IFERROR(EOMONTH(B32,0),"—")</f>
        <v>45322</v>
      </c>
      <c r="G32" s="17" t="n">
        <f aca="false">IFERROR(WEEKNUM(B32,2),"—")</f>
        <v>4</v>
      </c>
      <c r="H32" s="8" t="str">
        <f aca="false">VLOOKUP(A32,Dataset!$A:$O,7,0)</f>
        <v>Resolved</v>
      </c>
    </row>
    <row r="33" customFormat="false" ht="14.25" hidden="false" customHeight="false" outlineLevel="0" collapsed="false">
      <c r="A33" s="2" t="s">
        <v>75</v>
      </c>
      <c r="B33" s="31" t="n">
        <f aca="false">VLOOKUP(A33,Dataset!$A:$O,8,0)</f>
        <v>45314</v>
      </c>
      <c r="C33" s="31" t="n">
        <f aca="false">IFERROR(VLOOKUP(A33,Dataset!$A:$O,9,0),"Open")</f>
        <v>0</v>
      </c>
      <c r="D33" s="12" t="str">
        <f aca="true">IFERROR(DATEDIF(B33,IF(C33="Open",TODAY(),C33),"D"),"—")</f>
        <v>—</v>
      </c>
      <c r="E33" s="12" t="n">
        <f aca="true">IFERROR(NETWORKDAYS(B33,IF(C33="Open",TODAY(),C33)),"—")</f>
        <v>-32367</v>
      </c>
      <c r="F33" s="32" t="n">
        <f aca="false">IFERROR(EOMONTH(B33,0),"—")</f>
        <v>45322</v>
      </c>
      <c r="G33" s="16" t="n">
        <f aca="false">IFERROR(WEEKNUM(B33,2),"—")</f>
        <v>4</v>
      </c>
      <c r="H33" s="4" t="str">
        <f aca="false">VLOOKUP(A33,Dataset!$A:$O,7,0)</f>
        <v>Open</v>
      </c>
    </row>
    <row r="34" customFormat="false" ht="14.25" hidden="false" customHeight="false" outlineLevel="0" collapsed="false">
      <c r="A34" s="6" t="s">
        <v>77</v>
      </c>
      <c r="B34" s="33" t="n">
        <f aca="false">VLOOKUP(A34,Dataset!$A:$O,8,0)</f>
        <v>45315</v>
      </c>
      <c r="C34" s="33" t="n">
        <f aca="false">IFERROR(VLOOKUP(A34,Dataset!$A:$O,9,0),"Open")</f>
        <v>45316</v>
      </c>
      <c r="D34" s="13" t="n">
        <f aca="true">IFERROR(DATEDIF(B34,IF(C34="Open",TODAY(),C34),"D"),"—")</f>
        <v>1</v>
      </c>
      <c r="E34" s="13" t="n">
        <f aca="true">IFERROR(NETWORKDAYS(B34,IF(C34="Open",TODAY(),C34)),"—")</f>
        <v>2</v>
      </c>
      <c r="F34" s="34" t="n">
        <f aca="false">IFERROR(EOMONTH(B34,0),"—")</f>
        <v>45322</v>
      </c>
      <c r="G34" s="17" t="n">
        <f aca="false">IFERROR(WEEKNUM(B34,2),"—")</f>
        <v>4</v>
      </c>
      <c r="H34" s="8" t="str">
        <f aca="false">VLOOKUP(A34,Dataset!$A:$O,7,0)</f>
        <v>Closed</v>
      </c>
    </row>
  </sheetData>
  <mergeCells count="4">
    <mergeCell ref="A1:K1"/>
    <mergeCell ref="A2:G2"/>
    <mergeCell ref="A3:G3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4" activePane="bottomLeft" state="frozen"/>
      <selection pane="topLeft" activeCell="A1" activeCellId="0" sqref="A1"/>
      <selection pane="bottomLeft" activeCell="H2" activeCellId="0" sqref="H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0" t="s">
        <v>126</v>
      </c>
      <c r="B1" s="10"/>
      <c r="C1" s="10"/>
      <c r="D1" s="10"/>
      <c r="E1" s="10"/>
      <c r="F1" s="10"/>
      <c r="G1" s="10"/>
      <c r="H1" s="10"/>
      <c r="I1" s="10"/>
    </row>
    <row r="2" customFormat="false" ht="21.75" hidden="false" customHeight="true" outlineLevel="0" collapsed="false">
      <c r="A2" s="11" t="s">
        <v>127</v>
      </c>
      <c r="B2" s="11"/>
      <c r="C2" s="11"/>
      <c r="D2" s="11"/>
      <c r="E2" s="11"/>
      <c r="F2" s="11"/>
      <c r="G2" s="11"/>
    </row>
    <row r="3" customFormat="false" ht="26.25" hidden="false" customHeight="true" outlineLevel="0" collapsed="false">
      <c r="A3" s="1" t="s">
        <v>0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</row>
    <row r="4" customFormat="false" ht="14.25" hidden="false" customHeight="false" outlineLevel="0" collapsed="false">
      <c r="A4" s="2" t="s">
        <v>15</v>
      </c>
      <c r="B4" s="4" t="str">
        <f aca="false">VLOOKUP(A4,Dataset!$A:$O,1,0)</f>
        <v>BUG-001</v>
      </c>
      <c r="C4" s="12" t="str">
        <f aca="false">LEFT(A4,3)</f>
        <v>BUG</v>
      </c>
      <c r="D4" s="12" t="str">
        <f aca="false">RIGHT(A4,3)</f>
        <v>001</v>
      </c>
      <c r="E4" s="12" t="str">
        <f aca="false">MID(A4,5,3)</f>
        <v>001</v>
      </c>
      <c r="F4" s="16" t="n">
        <f aca="false">SEARCH("BUG",A4)</f>
        <v>1</v>
      </c>
      <c r="G4" s="16" t="n">
        <f aca="false">SEARCH("-",A4)</f>
        <v>4</v>
      </c>
    </row>
    <row r="5" customFormat="false" ht="14.25" hidden="false" customHeight="false" outlineLevel="0" collapsed="false">
      <c r="A5" s="6" t="s">
        <v>25</v>
      </c>
      <c r="B5" s="8" t="str">
        <f aca="false">VLOOKUP(A5,Dataset!$A:$O,1,0)</f>
        <v>BUG-002</v>
      </c>
      <c r="C5" s="13" t="str">
        <f aca="false">LEFT(A5,3)</f>
        <v>BUG</v>
      </c>
      <c r="D5" s="13" t="str">
        <f aca="false">RIGHT(A5,3)</f>
        <v>002</v>
      </c>
      <c r="E5" s="13" t="str">
        <f aca="false">MID(A5,5,3)</f>
        <v>002</v>
      </c>
      <c r="F5" s="17" t="n">
        <f aca="false">SEARCH("BUG",A5)</f>
        <v>1</v>
      </c>
      <c r="G5" s="17" t="n">
        <f aca="false">SEARCH("-",A5)</f>
        <v>4</v>
      </c>
    </row>
    <row r="6" customFormat="false" ht="14.25" hidden="false" customHeight="false" outlineLevel="0" collapsed="false">
      <c r="A6" s="2" t="s">
        <v>31</v>
      </c>
      <c r="B6" s="4" t="str">
        <f aca="false">VLOOKUP(A6,Dataset!$A:$O,1,0)</f>
        <v>BUG-003</v>
      </c>
      <c r="C6" s="12" t="str">
        <f aca="false">LEFT(A6,3)</f>
        <v>BUG</v>
      </c>
      <c r="D6" s="12" t="str">
        <f aca="false">RIGHT(A6,3)</f>
        <v>003</v>
      </c>
      <c r="E6" s="12" t="str">
        <f aca="false">MID(A6,5,3)</f>
        <v>003</v>
      </c>
      <c r="F6" s="16" t="n">
        <f aca="false">SEARCH("BUG",A6)</f>
        <v>1</v>
      </c>
      <c r="G6" s="16" t="n">
        <f aca="false">SEARCH("-",A6)</f>
        <v>4</v>
      </c>
    </row>
    <row r="7" customFormat="false" ht="14.25" hidden="false" customHeight="false" outlineLevel="0" collapsed="false">
      <c r="A7" s="6" t="s">
        <v>37</v>
      </c>
      <c r="B7" s="8" t="str">
        <f aca="false">VLOOKUP(A7,Dataset!$A:$O,1,0)</f>
        <v>BUG-004</v>
      </c>
      <c r="C7" s="13" t="str">
        <f aca="false">LEFT(A7,3)</f>
        <v>BUG</v>
      </c>
      <c r="D7" s="13" t="str">
        <f aca="false">RIGHT(A7,3)</f>
        <v>004</v>
      </c>
      <c r="E7" s="13" t="str">
        <f aca="false">MID(A7,5,3)</f>
        <v>004</v>
      </c>
      <c r="F7" s="17" t="n">
        <f aca="false">SEARCH("BUG",A7)</f>
        <v>1</v>
      </c>
      <c r="G7" s="17" t="n">
        <f aca="false">SEARCH("-",A7)</f>
        <v>4</v>
      </c>
    </row>
    <row r="8" customFormat="false" ht="14.25" hidden="false" customHeight="false" outlineLevel="0" collapsed="false">
      <c r="A8" s="2" t="s">
        <v>42</v>
      </c>
      <c r="B8" s="4" t="str">
        <f aca="false">VLOOKUP(A8,Dataset!$A:$O,1,0)</f>
        <v>BUG-005</v>
      </c>
      <c r="C8" s="12" t="str">
        <f aca="false">LEFT(A8,3)</f>
        <v>BUG</v>
      </c>
      <c r="D8" s="12" t="str">
        <f aca="false">RIGHT(A8,3)</f>
        <v>005</v>
      </c>
      <c r="E8" s="12" t="str">
        <f aca="false">MID(A8,5,3)</f>
        <v>005</v>
      </c>
      <c r="F8" s="16" t="n">
        <f aca="false">SEARCH("BUG",A8)</f>
        <v>1</v>
      </c>
      <c r="G8" s="16" t="n">
        <f aca="false">SEARCH("-",A8)</f>
        <v>4</v>
      </c>
    </row>
    <row r="9" customFormat="false" ht="14.25" hidden="false" customHeight="false" outlineLevel="0" collapsed="false">
      <c r="A9" s="6" t="s">
        <v>46</v>
      </c>
      <c r="B9" s="8" t="str">
        <f aca="false">VLOOKUP(A9,Dataset!$A:$O,1,0)</f>
        <v>BUG-006</v>
      </c>
      <c r="C9" s="13" t="str">
        <f aca="false">LEFT(A9,3)</f>
        <v>BUG</v>
      </c>
      <c r="D9" s="13" t="str">
        <f aca="false">RIGHT(A9,3)</f>
        <v>006</v>
      </c>
      <c r="E9" s="13" t="str">
        <f aca="false">MID(A9,5,3)</f>
        <v>006</v>
      </c>
      <c r="F9" s="17" t="n">
        <f aca="false">SEARCH("BUG",A9)</f>
        <v>1</v>
      </c>
      <c r="G9" s="17" t="n">
        <f aca="false">SEARCH("-",A9)</f>
        <v>4</v>
      </c>
    </row>
    <row r="10" customFormat="false" ht="14.25" hidden="false" customHeight="false" outlineLevel="0" collapsed="false">
      <c r="A10" s="2" t="s">
        <v>51</v>
      </c>
      <c r="B10" s="4" t="str">
        <f aca="false">VLOOKUP(A10,Dataset!$A:$O,1,0)</f>
        <v>BUG-007</v>
      </c>
      <c r="C10" s="12" t="str">
        <f aca="false">LEFT(A10,3)</f>
        <v>BUG</v>
      </c>
      <c r="D10" s="12" t="str">
        <f aca="false">RIGHT(A10,3)</f>
        <v>007</v>
      </c>
      <c r="E10" s="12" t="str">
        <f aca="false">MID(A10,5,3)</f>
        <v>007</v>
      </c>
      <c r="F10" s="16" t="n">
        <f aca="false">SEARCH("BUG",A10)</f>
        <v>1</v>
      </c>
      <c r="G10" s="16" t="n">
        <f aca="false">SEARCH("-",A10)</f>
        <v>4</v>
      </c>
    </row>
    <row r="11" customFormat="false" ht="14.25" hidden="false" customHeight="false" outlineLevel="0" collapsed="false">
      <c r="A11" s="6" t="s">
        <v>53</v>
      </c>
      <c r="B11" s="8" t="str">
        <f aca="false">VLOOKUP(A11,Dataset!$A:$O,1,0)</f>
        <v>BUG-008</v>
      </c>
      <c r="C11" s="13" t="str">
        <f aca="false">LEFT(A11,3)</f>
        <v>BUG</v>
      </c>
      <c r="D11" s="13" t="str">
        <f aca="false">RIGHT(A11,3)</f>
        <v>008</v>
      </c>
      <c r="E11" s="13" t="str">
        <f aca="false">MID(A11,5,3)</f>
        <v>008</v>
      </c>
      <c r="F11" s="17" t="n">
        <f aca="false">SEARCH("BUG",A11)</f>
        <v>1</v>
      </c>
      <c r="G11" s="17" t="n">
        <f aca="false">SEARCH("-",A11)</f>
        <v>4</v>
      </c>
    </row>
    <row r="12" customFormat="false" ht="14.25" hidden="false" customHeight="false" outlineLevel="0" collapsed="false">
      <c r="A12" s="2" t="s">
        <v>55</v>
      </c>
      <c r="B12" s="4" t="str">
        <f aca="false">VLOOKUP(A12,Dataset!$A:$O,1,0)</f>
        <v>BUG-009</v>
      </c>
      <c r="C12" s="12" t="str">
        <f aca="false">LEFT(A12,3)</f>
        <v>BUG</v>
      </c>
      <c r="D12" s="12" t="str">
        <f aca="false">RIGHT(A12,3)</f>
        <v>009</v>
      </c>
      <c r="E12" s="12" t="str">
        <f aca="false">MID(A12,5,3)</f>
        <v>009</v>
      </c>
      <c r="F12" s="16" t="n">
        <f aca="false">SEARCH("BUG",A12)</f>
        <v>1</v>
      </c>
      <c r="G12" s="16" t="n">
        <f aca="false">SEARCH("-",A12)</f>
        <v>4</v>
      </c>
    </row>
    <row r="13" customFormat="false" ht="14.25" hidden="false" customHeight="false" outlineLevel="0" collapsed="false">
      <c r="A13" s="6" t="s">
        <v>57</v>
      </c>
      <c r="B13" s="8" t="str">
        <f aca="false">VLOOKUP(A13,Dataset!$A:$O,1,0)</f>
        <v>BUG-010</v>
      </c>
      <c r="C13" s="13" t="str">
        <f aca="false">LEFT(A13,3)</f>
        <v>BUG</v>
      </c>
      <c r="D13" s="13" t="str">
        <f aca="false">RIGHT(A13,3)</f>
        <v>010</v>
      </c>
      <c r="E13" s="13" t="str">
        <f aca="false">MID(A13,5,3)</f>
        <v>010</v>
      </c>
      <c r="F13" s="17" t="n">
        <f aca="false">SEARCH("BUG",A13)</f>
        <v>1</v>
      </c>
      <c r="G13" s="17" t="n">
        <f aca="false">SEARCH("-",A13)</f>
        <v>4</v>
      </c>
    </row>
    <row r="14" customFormat="false" ht="14.25" hidden="false" customHeight="false" outlineLevel="0" collapsed="false">
      <c r="A14" s="2" t="s">
        <v>59</v>
      </c>
      <c r="B14" s="4" t="str">
        <f aca="false">VLOOKUP(A14,Dataset!$A:$O,1,0)</f>
        <v>BUG-011</v>
      </c>
      <c r="C14" s="12" t="str">
        <f aca="false">LEFT(A14,3)</f>
        <v>BUG</v>
      </c>
      <c r="D14" s="12" t="str">
        <f aca="false">RIGHT(A14,3)</f>
        <v>011</v>
      </c>
      <c r="E14" s="12" t="str">
        <f aca="false">MID(A14,5,3)</f>
        <v>011</v>
      </c>
      <c r="F14" s="16" t="n">
        <f aca="false">SEARCH("BUG",A14)</f>
        <v>1</v>
      </c>
      <c r="G14" s="16" t="n">
        <f aca="false">SEARCH("-",A14)</f>
        <v>4</v>
      </c>
    </row>
    <row r="15" customFormat="false" ht="14.25" hidden="false" customHeight="false" outlineLevel="0" collapsed="false">
      <c r="A15" s="6" t="s">
        <v>61</v>
      </c>
      <c r="B15" s="8" t="str">
        <f aca="false">VLOOKUP(A15,Dataset!$A:$O,1,0)</f>
        <v>BUG-012</v>
      </c>
      <c r="C15" s="13" t="str">
        <f aca="false">LEFT(A15,3)</f>
        <v>BUG</v>
      </c>
      <c r="D15" s="13" t="str">
        <f aca="false">RIGHT(A15,3)</f>
        <v>012</v>
      </c>
      <c r="E15" s="13" t="str">
        <f aca="false">MID(A15,5,3)</f>
        <v>012</v>
      </c>
      <c r="F15" s="17" t="n">
        <f aca="false">SEARCH("BUG",A15)</f>
        <v>1</v>
      </c>
      <c r="G15" s="17" t="n">
        <f aca="false">SEARCH("-",A15)</f>
        <v>4</v>
      </c>
    </row>
    <row r="16" customFormat="false" ht="14.25" hidden="false" customHeight="false" outlineLevel="0" collapsed="false">
      <c r="A16" s="2" t="s">
        <v>63</v>
      </c>
      <c r="B16" s="4" t="str">
        <f aca="false">VLOOKUP(A16,Dataset!$A:$O,1,0)</f>
        <v>BUG-013</v>
      </c>
      <c r="C16" s="12" t="str">
        <f aca="false">LEFT(A16,3)</f>
        <v>BUG</v>
      </c>
      <c r="D16" s="12" t="str">
        <f aca="false">RIGHT(A16,3)</f>
        <v>013</v>
      </c>
      <c r="E16" s="12" t="str">
        <f aca="false">MID(A16,5,3)</f>
        <v>013</v>
      </c>
      <c r="F16" s="16" t="n">
        <f aca="false">SEARCH("BUG",A16)</f>
        <v>1</v>
      </c>
      <c r="G16" s="16" t="n">
        <f aca="false">SEARCH("-",A16)</f>
        <v>4</v>
      </c>
    </row>
    <row r="17" customFormat="false" ht="14.25" hidden="false" customHeight="false" outlineLevel="0" collapsed="false">
      <c r="A17" s="6" t="s">
        <v>65</v>
      </c>
      <c r="B17" s="8" t="str">
        <f aca="false">VLOOKUP(A17,Dataset!$A:$O,1,0)</f>
        <v>BUG-014</v>
      </c>
      <c r="C17" s="13" t="str">
        <f aca="false">LEFT(A17,3)</f>
        <v>BUG</v>
      </c>
      <c r="D17" s="13" t="str">
        <f aca="false">RIGHT(A17,3)</f>
        <v>014</v>
      </c>
      <c r="E17" s="13" t="str">
        <f aca="false">MID(A17,5,3)</f>
        <v>014</v>
      </c>
      <c r="F17" s="17" t="n">
        <f aca="false">SEARCH("BUG",A17)</f>
        <v>1</v>
      </c>
      <c r="G17" s="17" t="n">
        <f aca="false">SEARCH("-",A17)</f>
        <v>4</v>
      </c>
    </row>
    <row r="18" customFormat="false" ht="14.25" hidden="false" customHeight="false" outlineLevel="0" collapsed="false">
      <c r="A18" s="2" t="s">
        <v>67</v>
      </c>
      <c r="B18" s="4" t="str">
        <f aca="false">VLOOKUP(A18,Dataset!$A:$O,1,0)</f>
        <v>BUG-015</v>
      </c>
      <c r="C18" s="12" t="str">
        <f aca="false">LEFT(A18,3)</f>
        <v>BUG</v>
      </c>
      <c r="D18" s="12" t="str">
        <f aca="false">RIGHT(A18,3)</f>
        <v>015</v>
      </c>
      <c r="E18" s="12" t="str">
        <f aca="false">MID(A18,5,3)</f>
        <v>015</v>
      </c>
      <c r="F18" s="16" t="n">
        <f aca="false">SEARCH("BUG",A18)</f>
        <v>1</v>
      </c>
      <c r="G18" s="16" t="n">
        <f aca="false">SEARCH("-",A18)</f>
        <v>4</v>
      </c>
    </row>
    <row r="19" customFormat="false" ht="14.25" hidden="false" customHeight="false" outlineLevel="0" collapsed="false">
      <c r="A19" s="6" t="s">
        <v>69</v>
      </c>
      <c r="B19" s="8" t="str">
        <f aca="false">VLOOKUP(A19,Dataset!$A:$O,1,0)</f>
        <v>BUG-016</v>
      </c>
      <c r="C19" s="13" t="str">
        <f aca="false">LEFT(A19,3)</f>
        <v>BUG</v>
      </c>
      <c r="D19" s="13" t="str">
        <f aca="false">RIGHT(A19,3)</f>
        <v>016</v>
      </c>
      <c r="E19" s="13" t="str">
        <f aca="false">MID(A19,5,3)</f>
        <v>016</v>
      </c>
      <c r="F19" s="17" t="n">
        <f aca="false">SEARCH("BUG",A19)</f>
        <v>1</v>
      </c>
      <c r="G19" s="17" t="n">
        <f aca="false">SEARCH("-",A19)</f>
        <v>4</v>
      </c>
    </row>
    <row r="20" customFormat="false" ht="14.25" hidden="false" customHeight="false" outlineLevel="0" collapsed="false">
      <c r="A20" s="2" t="s">
        <v>71</v>
      </c>
      <c r="B20" s="4" t="str">
        <f aca="false">VLOOKUP(A20,Dataset!$A:$O,1,0)</f>
        <v>BUG-017</v>
      </c>
      <c r="C20" s="12" t="str">
        <f aca="false">LEFT(A20,3)</f>
        <v>BUG</v>
      </c>
      <c r="D20" s="12" t="str">
        <f aca="false">RIGHT(A20,3)</f>
        <v>017</v>
      </c>
      <c r="E20" s="12" t="str">
        <f aca="false">MID(A20,5,3)</f>
        <v>017</v>
      </c>
      <c r="F20" s="16" t="n">
        <f aca="false">SEARCH("BUG",A20)</f>
        <v>1</v>
      </c>
      <c r="G20" s="16" t="n">
        <f aca="false">SEARCH("-",A20)</f>
        <v>4</v>
      </c>
    </row>
    <row r="21" customFormat="false" ht="14.25" hidden="false" customHeight="false" outlineLevel="0" collapsed="false">
      <c r="A21" s="6" t="s">
        <v>73</v>
      </c>
      <c r="B21" s="8" t="str">
        <f aca="false">VLOOKUP(A21,Dataset!$A:$O,1,0)</f>
        <v>BUG-018</v>
      </c>
      <c r="C21" s="13" t="str">
        <f aca="false">LEFT(A21,3)</f>
        <v>BUG</v>
      </c>
      <c r="D21" s="13" t="str">
        <f aca="false">RIGHT(A21,3)</f>
        <v>018</v>
      </c>
      <c r="E21" s="13" t="str">
        <f aca="false">MID(A21,5,3)</f>
        <v>018</v>
      </c>
      <c r="F21" s="17" t="n">
        <f aca="false">SEARCH("BUG",A21)</f>
        <v>1</v>
      </c>
      <c r="G21" s="17" t="n">
        <f aca="false">SEARCH("-",A21)</f>
        <v>4</v>
      </c>
    </row>
    <row r="22" customFormat="false" ht="14.25" hidden="false" customHeight="false" outlineLevel="0" collapsed="false">
      <c r="A22" s="2" t="s">
        <v>75</v>
      </c>
      <c r="B22" s="4" t="str">
        <f aca="false">VLOOKUP(A22,Dataset!$A:$O,1,0)</f>
        <v>BUG-019</v>
      </c>
      <c r="C22" s="12" t="str">
        <f aca="false">LEFT(A22,3)</f>
        <v>BUG</v>
      </c>
      <c r="D22" s="12" t="str">
        <f aca="false">RIGHT(A22,3)</f>
        <v>019</v>
      </c>
      <c r="E22" s="12" t="str">
        <f aca="false">MID(A22,5,3)</f>
        <v>019</v>
      </c>
      <c r="F22" s="16" t="n">
        <f aca="false">SEARCH("BUG",A22)</f>
        <v>1</v>
      </c>
      <c r="G22" s="16" t="n">
        <f aca="false">SEARCH("-",A22)</f>
        <v>4</v>
      </c>
    </row>
    <row r="23" customFormat="false" ht="14.25" hidden="false" customHeight="false" outlineLevel="0" collapsed="false">
      <c r="A23" s="6" t="s">
        <v>77</v>
      </c>
      <c r="B23" s="8" t="str">
        <f aca="false">VLOOKUP(A23,Dataset!$A:$O,1,0)</f>
        <v>BUG-020</v>
      </c>
      <c r="C23" s="13" t="str">
        <f aca="false">LEFT(A23,3)</f>
        <v>BUG</v>
      </c>
      <c r="D23" s="13" t="str">
        <f aca="false">RIGHT(A23,3)</f>
        <v>020</v>
      </c>
      <c r="E23" s="13" t="str">
        <f aca="false">MID(A23,5,3)</f>
        <v>020</v>
      </c>
      <c r="F23" s="17" t="n">
        <f aca="false">SEARCH("BUG",A23)</f>
        <v>1</v>
      </c>
      <c r="G23" s="17" t="n">
        <f aca="false">SEARCH("-",A23)</f>
        <v>4</v>
      </c>
    </row>
    <row r="25" customFormat="false" ht="21.75" hidden="false" customHeight="true" outlineLevel="0" collapsed="false">
      <c r="A25" s="11" t="s">
        <v>134</v>
      </c>
      <c r="B25" s="11"/>
      <c r="C25" s="11"/>
      <c r="D25" s="11"/>
      <c r="E25" s="11"/>
      <c r="F25" s="11"/>
      <c r="G25" s="11"/>
    </row>
    <row r="26" customFormat="false" ht="14.25" hidden="false" customHeight="false" outlineLevel="0" collapsed="false">
      <c r="A26" s="1" t="s">
        <v>0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139</v>
      </c>
      <c r="G26" s="1" t="s">
        <v>140</v>
      </c>
    </row>
    <row r="27" customFormat="false" ht="14.25" hidden="false" customHeight="false" outlineLevel="0" collapsed="false">
      <c r="A27" s="2" t="s">
        <v>15</v>
      </c>
      <c r="B27" s="35" t="s">
        <v>141</v>
      </c>
      <c r="C27" s="36" t="str">
        <f aca="false">TRIM(B27)</f>
        <v>critical BUG</v>
      </c>
      <c r="D27" s="37" t="str">
        <f aca="false">UPPER(TRIM(B27))</f>
        <v>CRITICAL BUG</v>
      </c>
      <c r="E27" s="38" t="str">
        <f aca="false">LOWER(TRIM(B27))</f>
        <v>critical bug</v>
      </c>
      <c r="F27" s="39" t="str">
        <f aca="false">PROPER(TRIM(B27))</f>
        <v>Critical Bug</v>
      </c>
      <c r="G27" s="40" t="str">
        <f aca="false">CLEAN(TRIM(B27))</f>
        <v>critical BUG</v>
      </c>
    </row>
    <row r="28" customFormat="false" ht="14.25" hidden="false" customHeight="false" outlineLevel="0" collapsed="false">
      <c r="A28" s="6" t="s">
        <v>25</v>
      </c>
      <c r="B28" s="41" t="s">
        <v>142</v>
      </c>
      <c r="C28" s="42" t="str">
        <f aca="false">TRIM(B28)</f>
        <v>ALPHA project</v>
      </c>
      <c r="D28" s="43" t="str">
        <f aca="false">UPPER(TRIM(B28))</f>
        <v>ALPHA PROJECT</v>
      </c>
      <c r="E28" s="44" t="str">
        <f aca="false">LOWER(TRIM(B28))</f>
        <v>alpha project</v>
      </c>
      <c r="F28" s="45" t="str">
        <f aca="false">PROPER(TRIM(B28))</f>
        <v>Alpha Project</v>
      </c>
      <c r="G28" s="46" t="str">
        <f aca="false">CLEAN(TRIM(B28))</f>
        <v>ALPHA project</v>
      </c>
    </row>
    <row r="29" customFormat="false" ht="14.25" hidden="false" customHeight="false" outlineLevel="0" collapsed="false">
      <c r="A29" s="2" t="s">
        <v>31</v>
      </c>
      <c r="B29" s="35" t="s">
        <v>143</v>
      </c>
      <c r="C29" s="36" t="str">
        <f aca="false">TRIM(B29)</f>
        <v>login MODULE</v>
      </c>
      <c r="D29" s="37" t="str">
        <f aca="false">UPPER(TRIM(B29))</f>
        <v>LOGIN MODULE</v>
      </c>
      <c r="E29" s="38" t="str">
        <f aca="false">LOWER(TRIM(B29))</f>
        <v>login module</v>
      </c>
      <c r="F29" s="39" t="str">
        <f aca="false">PROPER(TRIM(B29))</f>
        <v>Login Module</v>
      </c>
      <c r="G29" s="40" t="str">
        <f aca="false">CLEAN(TRIM(B29))</f>
        <v>login MODULE</v>
      </c>
    </row>
    <row r="30" customFormat="false" ht="14.25" hidden="false" customHeight="false" outlineLevel="0" collapsed="false">
      <c r="A30" s="6" t="s">
        <v>37</v>
      </c>
      <c r="B30" s="41" t="s">
        <v>144</v>
      </c>
      <c r="C30" s="42" t="str">
        <f aca="false">TRIM(B30)</f>
        <v>beta DASHBOARD</v>
      </c>
      <c r="D30" s="43" t="str">
        <f aca="false">UPPER(TRIM(B30))</f>
        <v>BETA DASHBOARD</v>
      </c>
      <c r="E30" s="44" t="str">
        <f aca="false">LOWER(TRIM(B30))</f>
        <v>beta dashboard</v>
      </c>
      <c r="F30" s="45" t="str">
        <f aca="false">PROPER(TRIM(B30))</f>
        <v>Beta Dashboard</v>
      </c>
      <c r="G30" s="46" t="str">
        <f aca="false">CLEAN(TRIM(B30))</f>
        <v>beta DASHBOARD</v>
      </c>
    </row>
    <row r="31" customFormat="false" ht="14.25" hidden="false" customHeight="false" outlineLevel="0" collapsed="false">
      <c r="A31" s="2" t="s">
        <v>42</v>
      </c>
      <c r="B31" s="35" t="s">
        <v>145</v>
      </c>
      <c r="C31" s="36" t="str">
        <f aca="false">TRIM(B31)</f>
        <v>PAYMENTS module</v>
      </c>
      <c r="D31" s="37" t="str">
        <f aca="false">UPPER(TRIM(B31))</f>
        <v>PAYMENTS MODULE</v>
      </c>
      <c r="E31" s="38" t="str">
        <f aca="false">LOWER(TRIM(B31))</f>
        <v>payments module</v>
      </c>
      <c r="F31" s="39" t="str">
        <f aca="false">PROPER(TRIM(B31))</f>
        <v>Payments Module</v>
      </c>
      <c r="G31" s="40" t="str">
        <f aca="false">CLEAN(TRIM(B31))</f>
        <v>PAYMENTS module</v>
      </c>
    </row>
    <row r="32" customFormat="false" ht="14.25" hidden="false" customHeight="false" outlineLevel="0" collapsed="false">
      <c r="A32" s="6" t="s">
        <v>46</v>
      </c>
      <c r="B32" s="41" t="s">
        <v>146</v>
      </c>
      <c r="C32" s="42" t="str">
        <f aca="false">TRIM(B32)</f>
        <v>gamma search</v>
      </c>
      <c r="D32" s="43" t="str">
        <f aca="false">UPPER(TRIM(B32))</f>
        <v>GAMMA SEARCH</v>
      </c>
      <c r="E32" s="44" t="str">
        <f aca="false">LOWER(TRIM(B32))</f>
        <v>gamma search</v>
      </c>
      <c r="F32" s="45" t="str">
        <f aca="false">PROPER(TRIM(B32))</f>
        <v>Gamma Search</v>
      </c>
      <c r="G32" s="46" t="str">
        <f aca="false">CLEAN(TRIM(B32))</f>
        <v>gamma search</v>
      </c>
    </row>
    <row r="33" customFormat="false" ht="14.25" hidden="false" customHeight="false" outlineLevel="0" collapsed="false">
      <c r="A33" s="2" t="s">
        <v>51</v>
      </c>
      <c r="B33" s="35" t="s">
        <v>147</v>
      </c>
      <c r="C33" s="36" t="str">
        <f aca="false">TRIM(B33)</f>
        <v>REPORTS module</v>
      </c>
      <c r="D33" s="37" t="str">
        <f aca="false">UPPER(TRIM(B33))</f>
        <v>REPORTS MODULE</v>
      </c>
      <c r="E33" s="38" t="str">
        <f aca="false">LOWER(TRIM(B33))</f>
        <v>reports module</v>
      </c>
      <c r="F33" s="39" t="str">
        <f aca="false">PROPER(TRIM(B33))</f>
        <v>Reports Module</v>
      </c>
      <c r="G33" s="40" t="str">
        <f aca="false">CLEAN(TRIM(B33))</f>
        <v>REPORTS module</v>
      </c>
    </row>
    <row r="34" customFormat="false" ht="14.25" hidden="false" customHeight="false" outlineLevel="0" collapsed="false">
      <c r="A34" s="6" t="s">
        <v>53</v>
      </c>
      <c r="B34" s="41" t="s">
        <v>148</v>
      </c>
      <c r="C34" s="42" t="str">
        <f aca="false">TRIM(B34)</f>
        <v>QA environment</v>
      </c>
      <c r="D34" s="43" t="str">
        <f aca="false">UPPER(TRIM(B34))</f>
        <v>QA ENVIRONMENT</v>
      </c>
      <c r="E34" s="44" t="str">
        <f aca="false">LOWER(TRIM(B34))</f>
        <v>qa environment</v>
      </c>
      <c r="F34" s="45" t="str">
        <f aca="false">PROPER(TRIM(B34))</f>
        <v>Qa Environment</v>
      </c>
      <c r="G34" s="46" t="str">
        <f aca="false">CLEAN(TRIM(B34))</f>
        <v>QA environment</v>
      </c>
    </row>
    <row r="35" customFormat="false" ht="14.25" hidden="false" customHeight="false" outlineLevel="0" collapsed="false">
      <c r="A35" s="2" t="s">
        <v>55</v>
      </c>
      <c r="B35" s="35" t="s">
        <v>149</v>
      </c>
      <c r="C35" s="36" t="str">
        <f aca="false">TRIM(B35)</f>
        <v>staging BUILD</v>
      </c>
      <c r="D35" s="37" t="str">
        <f aca="false">UPPER(TRIM(B35))</f>
        <v>STAGING BUILD</v>
      </c>
      <c r="E35" s="38" t="str">
        <f aca="false">LOWER(TRIM(B35))</f>
        <v>staging build</v>
      </c>
      <c r="F35" s="39" t="str">
        <f aca="false">PROPER(TRIM(B35))</f>
        <v>Staging Build</v>
      </c>
      <c r="G35" s="40" t="str">
        <f aca="false">CLEAN(TRIM(B35))</f>
        <v>staging BUILD</v>
      </c>
    </row>
    <row r="36" customFormat="false" ht="14.25" hidden="false" customHeight="false" outlineLevel="0" collapsed="false">
      <c r="A36" s="6" t="s">
        <v>57</v>
      </c>
      <c r="B36" s="41" t="s">
        <v>150</v>
      </c>
      <c r="C36" s="42" t="str">
        <f aca="false">TRIM(B36)</f>
        <v>PRODUCTION env</v>
      </c>
      <c r="D36" s="43" t="str">
        <f aca="false">UPPER(TRIM(B36))</f>
        <v>PRODUCTION ENV</v>
      </c>
      <c r="E36" s="44" t="str">
        <f aca="false">LOWER(TRIM(B36))</f>
        <v>production env</v>
      </c>
      <c r="F36" s="45" t="str">
        <f aca="false">PROPER(TRIM(B36))</f>
        <v>Production Env</v>
      </c>
      <c r="G36" s="46" t="str">
        <f aca="false">CLEAN(TRIM(B36))</f>
        <v>PRODUCTION env</v>
      </c>
    </row>
    <row r="38" customFormat="false" ht="21.75" hidden="false" customHeight="true" outlineLevel="0" collapsed="false">
      <c r="A38" s="11" t="s">
        <v>151</v>
      </c>
      <c r="B38" s="11"/>
      <c r="C38" s="11"/>
      <c r="D38" s="11"/>
      <c r="E38" s="11"/>
      <c r="F38" s="11"/>
      <c r="G38" s="11"/>
    </row>
    <row r="39" customFormat="false" ht="14.25" hidden="false" customHeight="false" outlineLevel="0" collapsed="false">
      <c r="A39" s="1" t="s">
        <v>0</v>
      </c>
      <c r="B39" s="1" t="s">
        <v>152</v>
      </c>
      <c r="C39" s="1" t="s">
        <v>153</v>
      </c>
      <c r="D39" s="1" t="s">
        <v>99</v>
      </c>
      <c r="E39" s="1" t="s">
        <v>154</v>
      </c>
      <c r="F39" s="1" t="s">
        <v>155</v>
      </c>
      <c r="G39" s="1" t="s">
        <v>156</v>
      </c>
    </row>
    <row r="40" customFormat="false" ht="18" hidden="false" customHeight="true" outlineLevel="0" collapsed="false">
      <c r="A40" s="2" t="s">
        <v>15</v>
      </c>
      <c r="B40" s="4" t="str">
        <f aca="false">VLOOKUP(A40,Dataset!$A:$O,1,0)</f>
        <v>BUG-001</v>
      </c>
      <c r="C40" s="12" t="str">
        <f aca="false">SUBSTITUTE(B40,"BUG","DEF")</f>
        <v>DEF-001</v>
      </c>
      <c r="D40" s="4" t="n">
        <f aca="false">VLOOKUP(A40,Dataset!$A:$O,11,0)</f>
        <v>8</v>
      </c>
      <c r="E40" s="14" t="str">
        <f aca="false">DOLLAR(D40,2)</f>
        <v>$8.00</v>
      </c>
      <c r="F40" s="16" t="str">
        <f aca="false">TEXT(VLOOKUP(A40,Dataset!$A:$O,8,0),"DD-MMM-YYYY")</f>
        <v>05-Jan-2024</v>
      </c>
      <c r="G40" s="37" t="str">
        <f aca="false">CONCATENATE(A40," | ",VLOOKUP(A40,Dataset!$A:$O,2,0))</f>
        <v>BUG-001 | Alpha</v>
      </c>
    </row>
    <row r="41" customFormat="false" ht="18" hidden="false" customHeight="true" outlineLevel="0" collapsed="false">
      <c r="A41" s="6" t="s">
        <v>25</v>
      </c>
      <c r="B41" s="8" t="str">
        <f aca="false">VLOOKUP(A41,Dataset!$A:$O,1,0)</f>
        <v>BUG-002</v>
      </c>
      <c r="C41" s="13" t="str">
        <f aca="false">SUBSTITUTE(B41,"BUG","DEF")</f>
        <v>DEF-002</v>
      </c>
      <c r="D41" s="8" t="n">
        <f aca="false">VLOOKUP(A41,Dataset!$A:$O,11,0)</f>
        <v>5</v>
      </c>
      <c r="E41" s="15" t="str">
        <f aca="false">DOLLAR(D41,2)</f>
        <v>$5.00</v>
      </c>
      <c r="F41" s="17" t="str">
        <f aca="false">TEXT(VLOOKUP(A41,Dataset!$A:$O,8,0),"DD-MMM-YYYY")</f>
        <v>06-Jan-2024</v>
      </c>
      <c r="G41" s="43" t="str">
        <f aca="false">CONCATENATE(A41," | ",VLOOKUP(A41,Dataset!$A:$O,2,0))</f>
        <v>BUG-002 | Alpha</v>
      </c>
    </row>
    <row r="42" customFormat="false" ht="18" hidden="false" customHeight="true" outlineLevel="0" collapsed="false">
      <c r="A42" s="2" t="s">
        <v>31</v>
      </c>
      <c r="B42" s="4" t="str">
        <f aca="false">VLOOKUP(A42,Dataset!$A:$O,1,0)</f>
        <v>BUG-003</v>
      </c>
      <c r="C42" s="12" t="str">
        <f aca="false">SUBSTITUTE(B42,"BUG","DEF")</f>
        <v>DEF-003</v>
      </c>
      <c r="D42" s="4" t="n">
        <f aca="false">VLOOKUP(A42,Dataset!$A:$O,11,0)</f>
        <v>3</v>
      </c>
      <c r="E42" s="14" t="str">
        <f aca="false">DOLLAR(D42,2)</f>
        <v>$3.00</v>
      </c>
      <c r="F42" s="16" t="str">
        <f aca="false">TEXT(VLOOKUP(A42,Dataset!$A:$O,8,0),"DD-MMM-YYYY")</f>
        <v>07-Jan-2024</v>
      </c>
      <c r="G42" s="37" t="str">
        <f aca="false">CONCATENATE(A42," | ",VLOOKUP(A42,Dataset!$A:$O,2,0))</f>
        <v>BUG-003 | Beta</v>
      </c>
    </row>
    <row r="43" customFormat="false" ht="18" hidden="false" customHeight="true" outlineLevel="0" collapsed="false">
      <c r="A43" s="6" t="s">
        <v>37</v>
      </c>
      <c r="B43" s="8" t="str">
        <f aca="false">VLOOKUP(A43,Dataset!$A:$O,1,0)</f>
        <v>BUG-004</v>
      </c>
      <c r="C43" s="13" t="str">
        <f aca="false">SUBSTITUTE(B43,"BUG","DEF")</f>
        <v>DEF-004</v>
      </c>
      <c r="D43" s="8" t="n">
        <f aca="false">VLOOKUP(A43,Dataset!$A:$O,11,0)</f>
        <v>2</v>
      </c>
      <c r="E43" s="15" t="str">
        <f aca="false">DOLLAR(D43,2)</f>
        <v>$2.00</v>
      </c>
      <c r="F43" s="17" t="str">
        <f aca="false">TEXT(VLOOKUP(A43,Dataset!$A:$O,8,0),"DD-MMM-YYYY")</f>
        <v>08-Jan-2024</v>
      </c>
      <c r="G43" s="43" t="str">
        <f aca="false">CONCATENATE(A43," | ",VLOOKUP(A43,Dataset!$A:$O,2,0))</f>
        <v>BUG-004 | Beta</v>
      </c>
    </row>
    <row r="44" customFormat="false" ht="18" hidden="false" customHeight="true" outlineLevel="0" collapsed="false">
      <c r="A44" s="2" t="s">
        <v>42</v>
      </c>
      <c r="B44" s="4" t="str">
        <f aca="false">VLOOKUP(A44,Dataset!$A:$O,1,0)</f>
        <v>BUG-005</v>
      </c>
      <c r="C44" s="12" t="str">
        <f aca="false">SUBSTITUTE(B44,"BUG","DEF")</f>
        <v>DEF-005</v>
      </c>
      <c r="D44" s="4" t="n">
        <f aca="false">VLOOKUP(A44,Dataset!$A:$O,11,0)</f>
        <v>10</v>
      </c>
      <c r="E44" s="14" t="str">
        <f aca="false">DOLLAR(D44,2)</f>
        <v>$10.00</v>
      </c>
      <c r="F44" s="16" t="str">
        <f aca="false">TEXT(VLOOKUP(A44,Dataset!$A:$O,8,0),"DD-MMM-YYYY")</f>
        <v>09-Jan-2024</v>
      </c>
      <c r="G44" s="37" t="str">
        <f aca="false">CONCATENATE(A44," | ",VLOOKUP(A44,Dataset!$A:$O,2,0))</f>
        <v>BUG-005 | Alpha</v>
      </c>
    </row>
    <row r="45" customFormat="false" ht="18" hidden="false" customHeight="true" outlineLevel="0" collapsed="false">
      <c r="A45" s="6" t="s">
        <v>46</v>
      </c>
      <c r="B45" s="8" t="str">
        <f aca="false">VLOOKUP(A45,Dataset!$A:$O,1,0)</f>
        <v>BUG-006</v>
      </c>
      <c r="C45" s="13" t="str">
        <f aca="false">SUBSTITUTE(B45,"BUG","DEF")</f>
        <v>DEF-006</v>
      </c>
      <c r="D45" s="8" t="n">
        <f aca="false">VLOOKUP(A45,Dataset!$A:$O,11,0)</f>
        <v>4</v>
      </c>
      <c r="E45" s="15" t="str">
        <f aca="false">DOLLAR(D45,2)</f>
        <v>$4.00</v>
      </c>
      <c r="F45" s="17" t="str">
        <f aca="false">TEXT(VLOOKUP(A45,Dataset!$A:$O,8,0),"DD-MMM-YYYY")</f>
        <v>10-Jan-2024</v>
      </c>
      <c r="G45" s="43" t="str">
        <f aca="false">CONCATENATE(A45," | ",VLOOKUP(A45,Dataset!$A:$O,2,0))</f>
        <v>BUG-006 | Gamma</v>
      </c>
    </row>
    <row r="46" customFormat="false" ht="18" hidden="false" customHeight="true" outlineLevel="0" collapsed="false">
      <c r="A46" s="2" t="s">
        <v>51</v>
      </c>
      <c r="B46" s="4" t="str">
        <f aca="false">VLOOKUP(A46,Dataset!$A:$O,1,0)</f>
        <v>BUG-007</v>
      </c>
      <c r="C46" s="12" t="str">
        <f aca="false">SUBSTITUTE(B46,"BUG","DEF")</f>
        <v>DEF-007</v>
      </c>
      <c r="D46" s="4" t="n">
        <f aca="false">VLOOKUP(A46,Dataset!$A:$O,11,0)</f>
        <v>3</v>
      </c>
      <c r="E46" s="14" t="str">
        <f aca="false">DOLLAR(D46,2)</f>
        <v>$3.00</v>
      </c>
      <c r="F46" s="16" t="str">
        <f aca="false">TEXT(VLOOKUP(A46,Dataset!$A:$O,8,0),"DD-MMM-YYYY")</f>
        <v>11-Jan-2024</v>
      </c>
      <c r="G46" s="37" t="str">
        <f aca="false">CONCATENATE(A46," | ",VLOOKUP(A46,Dataset!$A:$O,2,0))</f>
        <v>BUG-007 | Gamma</v>
      </c>
    </row>
    <row r="47" customFormat="false" ht="18" hidden="false" customHeight="true" outlineLevel="0" collapsed="false">
      <c r="A47" s="6" t="s">
        <v>53</v>
      </c>
      <c r="B47" s="8" t="str">
        <f aca="false">VLOOKUP(A47,Dataset!$A:$O,1,0)</f>
        <v>BUG-008</v>
      </c>
      <c r="C47" s="13" t="str">
        <f aca="false">SUBSTITUTE(B47,"BUG","DEF")</f>
        <v>DEF-008</v>
      </c>
      <c r="D47" s="8" t="n">
        <f aca="false">VLOOKUP(A47,Dataset!$A:$O,11,0)</f>
        <v>2</v>
      </c>
      <c r="E47" s="15" t="str">
        <f aca="false">DOLLAR(D47,2)</f>
        <v>$2.00</v>
      </c>
      <c r="F47" s="17" t="str">
        <f aca="false">TEXT(VLOOKUP(A47,Dataset!$A:$O,8,0),"DD-MMM-YYYY")</f>
        <v>12-Jan-2024</v>
      </c>
      <c r="G47" s="43" t="str">
        <f aca="false">CONCATENATE(A47," | ",VLOOKUP(A47,Dataset!$A:$O,2,0))</f>
        <v>BUG-008 | Alpha</v>
      </c>
    </row>
    <row r="48" customFormat="false" ht="18" hidden="false" customHeight="true" outlineLevel="0" collapsed="false">
      <c r="A48" s="2" t="s">
        <v>55</v>
      </c>
      <c r="B48" s="4" t="str">
        <f aca="false">VLOOKUP(A48,Dataset!$A:$O,1,0)</f>
        <v>BUG-009</v>
      </c>
      <c r="C48" s="12" t="str">
        <f aca="false">SUBSTITUTE(B48,"BUG","DEF")</f>
        <v>DEF-009</v>
      </c>
      <c r="D48" s="4" t="n">
        <f aca="false">VLOOKUP(A48,Dataset!$A:$O,11,0)</f>
        <v>7</v>
      </c>
      <c r="E48" s="14" t="str">
        <f aca="false">DOLLAR(D48,2)</f>
        <v>$7.00</v>
      </c>
      <c r="F48" s="16" t="str">
        <f aca="false">TEXT(VLOOKUP(A48,Dataset!$A:$O,8,0),"DD-MMM-YYYY")</f>
        <v>13-Jan-2024</v>
      </c>
      <c r="G48" s="37" t="str">
        <f aca="false">CONCATENATE(A48," | ",VLOOKUP(A48,Dataset!$A:$O,2,0))</f>
        <v>BUG-009 | Beta</v>
      </c>
    </row>
    <row r="49" customFormat="false" ht="18" hidden="false" customHeight="true" outlineLevel="0" collapsed="false">
      <c r="A49" s="6" t="s">
        <v>57</v>
      </c>
      <c r="B49" s="8" t="str">
        <f aca="false">VLOOKUP(A49,Dataset!$A:$O,1,0)</f>
        <v>BUG-010</v>
      </c>
      <c r="C49" s="13" t="str">
        <f aca="false">SUBSTITUTE(B49,"BUG","DEF")</f>
        <v>DEF-010</v>
      </c>
      <c r="D49" s="8" t="n">
        <f aca="false">VLOOKUP(A49,Dataset!$A:$O,11,0)</f>
        <v>6</v>
      </c>
      <c r="E49" s="15" t="str">
        <f aca="false">DOLLAR(D49,2)</f>
        <v>$6.00</v>
      </c>
      <c r="F49" s="17" t="str">
        <f aca="false">TEXT(VLOOKUP(A49,Dataset!$A:$O,8,0),"DD-MMM-YYYY")</f>
        <v>14-Jan-2024</v>
      </c>
      <c r="G49" s="43" t="str">
        <f aca="false">CONCATENATE(A49," | ",VLOOKUP(A49,Dataset!$A:$O,2,0))</f>
        <v>BUG-010 | Beta</v>
      </c>
    </row>
    <row r="50" customFormat="false" ht="18" hidden="false" customHeight="true" outlineLevel="0" collapsed="false">
      <c r="A50" s="2" t="s">
        <v>59</v>
      </c>
      <c r="B50" s="4" t="str">
        <f aca="false">VLOOKUP(A50,Dataset!$A:$O,1,0)</f>
        <v>BUG-011</v>
      </c>
      <c r="C50" s="12" t="str">
        <f aca="false">SUBSTITUTE(B50,"BUG","DEF")</f>
        <v>DEF-011</v>
      </c>
      <c r="D50" s="4" t="n">
        <f aca="false">VLOOKUP(A50,Dataset!$A:$O,11,0)</f>
        <v>3</v>
      </c>
      <c r="E50" s="14" t="str">
        <f aca="false">DOLLAR(D50,2)</f>
        <v>$3.00</v>
      </c>
      <c r="F50" s="16" t="str">
        <f aca="false">TEXT(VLOOKUP(A50,Dataset!$A:$O,8,0),"DD-MMM-YYYY")</f>
        <v>15-Jan-2024</v>
      </c>
      <c r="G50" s="37" t="str">
        <f aca="false">CONCATENATE(A50," | ",VLOOKUP(A50,Dataset!$A:$O,2,0))</f>
        <v>BUG-011 | Gamma</v>
      </c>
    </row>
    <row r="51" customFormat="false" ht="18" hidden="false" customHeight="true" outlineLevel="0" collapsed="false">
      <c r="A51" s="6" t="s">
        <v>61</v>
      </c>
      <c r="B51" s="8" t="str">
        <f aca="false">VLOOKUP(A51,Dataset!$A:$O,1,0)</f>
        <v>BUG-012</v>
      </c>
      <c r="C51" s="13" t="str">
        <f aca="false">SUBSTITUTE(B51,"BUG","DEF")</f>
        <v>DEF-012</v>
      </c>
      <c r="D51" s="8" t="n">
        <f aca="false">VLOOKUP(A51,Dataset!$A:$O,11,0)</f>
        <v>1</v>
      </c>
      <c r="E51" s="15" t="str">
        <f aca="false">DOLLAR(D51,2)</f>
        <v>$1.00</v>
      </c>
      <c r="F51" s="17" t="str">
        <f aca="false">TEXT(VLOOKUP(A51,Dataset!$A:$O,8,0),"DD-MMM-YYYY")</f>
        <v>16-Jan-2024</v>
      </c>
      <c r="G51" s="43" t="str">
        <f aca="false">CONCATENATE(A51," | ",VLOOKUP(A51,Dataset!$A:$O,2,0))</f>
        <v>BUG-012 | Alpha</v>
      </c>
    </row>
    <row r="52" customFormat="false" ht="18" hidden="false" customHeight="true" outlineLevel="0" collapsed="false">
      <c r="A52" s="2" t="s">
        <v>63</v>
      </c>
      <c r="B52" s="4" t="str">
        <f aca="false">VLOOKUP(A52,Dataset!$A:$O,1,0)</f>
        <v>BUG-013</v>
      </c>
      <c r="C52" s="12" t="str">
        <f aca="false">SUBSTITUTE(B52,"BUG","DEF")</f>
        <v>DEF-013</v>
      </c>
      <c r="D52" s="4" t="n">
        <f aca="false">VLOOKUP(A52,Dataset!$A:$O,11,0)</f>
        <v>9</v>
      </c>
      <c r="E52" s="14" t="str">
        <f aca="false">DOLLAR(D52,2)</f>
        <v>$9.00</v>
      </c>
      <c r="F52" s="16" t="str">
        <f aca="false">TEXT(VLOOKUP(A52,Dataset!$A:$O,8,0),"DD-MMM-YYYY")</f>
        <v>17-Jan-2024</v>
      </c>
      <c r="G52" s="37" t="str">
        <f aca="false">CONCATENATE(A52," | ",VLOOKUP(A52,Dataset!$A:$O,2,0))</f>
        <v>BUG-013 | Beta</v>
      </c>
    </row>
    <row r="53" customFormat="false" ht="18" hidden="false" customHeight="true" outlineLevel="0" collapsed="false">
      <c r="A53" s="6" t="s">
        <v>65</v>
      </c>
      <c r="B53" s="8" t="str">
        <f aca="false">VLOOKUP(A53,Dataset!$A:$O,1,0)</f>
        <v>BUG-014</v>
      </c>
      <c r="C53" s="13" t="str">
        <f aca="false">SUBSTITUTE(B53,"BUG","DEF")</f>
        <v>DEF-014</v>
      </c>
      <c r="D53" s="8" t="n">
        <f aca="false">VLOOKUP(A53,Dataset!$A:$O,11,0)</f>
        <v>5</v>
      </c>
      <c r="E53" s="15" t="str">
        <f aca="false">DOLLAR(D53,2)</f>
        <v>$5.00</v>
      </c>
      <c r="F53" s="17" t="str">
        <f aca="false">TEXT(VLOOKUP(A53,Dataset!$A:$O,8,0),"DD-MMM-YYYY")</f>
        <v>18-Jan-2024</v>
      </c>
      <c r="G53" s="43" t="str">
        <f aca="false">CONCATENATE(A53," | ",VLOOKUP(A53,Dataset!$A:$O,2,0))</f>
        <v>BUG-014 | Gamma</v>
      </c>
    </row>
    <row r="54" customFormat="false" ht="18" hidden="false" customHeight="true" outlineLevel="0" collapsed="false">
      <c r="A54" s="2" t="s">
        <v>67</v>
      </c>
      <c r="B54" s="4" t="str">
        <f aca="false">VLOOKUP(A54,Dataset!$A:$O,1,0)</f>
        <v>BUG-015</v>
      </c>
      <c r="C54" s="12" t="str">
        <f aca="false">SUBSTITUTE(B54,"BUG","DEF")</f>
        <v>DEF-015</v>
      </c>
      <c r="D54" s="4" t="n">
        <f aca="false">VLOOKUP(A54,Dataset!$A:$O,11,0)</f>
        <v>4</v>
      </c>
      <c r="E54" s="14" t="str">
        <f aca="false">DOLLAR(D54,2)</f>
        <v>$4.00</v>
      </c>
      <c r="F54" s="16" t="str">
        <f aca="false">TEXT(VLOOKUP(A54,Dataset!$A:$O,8,0),"DD-MMM-YYYY")</f>
        <v>19-Jan-2024</v>
      </c>
      <c r="G54" s="37" t="str">
        <f aca="false">CONCATENATE(A54," | ",VLOOKUP(A54,Dataset!$A:$O,2,0))</f>
        <v>BUG-015 | Alpha</v>
      </c>
    </row>
    <row r="55" customFormat="false" ht="18" hidden="false" customHeight="true" outlineLevel="0" collapsed="false">
      <c r="A55" s="6" t="s">
        <v>69</v>
      </c>
      <c r="B55" s="8" t="str">
        <f aca="false">VLOOKUP(A55,Dataset!$A:$O,1,0)</f>
        <v>BUG-016</v>
      </c>
      <c r="C55" s="13" t="str">
        <f aca="false">SUBSTITUTE(B55,"BUG","DEF")</f>
        <v>DEF-016</v>
      </c>
      <c r="D55" s="8" t="n">
        <f aca="false">VLOOKUP(A55,Dataset!$A:$O,11,0)</f>
        <v>2</v>
      </c>
      <c r="E55" s="15" t="str">
        <f aca="false">DOLLAR(D55,2)</f>
        <v>$2.00</v>
      </c>
      <c r="F55" s="17" t="str">
        <f aca="false">TEXT(VLOOKUP(A55,Dataset!$A:$O,8,0),"DD-MMM-YYYY")</f>
        <v>20-Jan-2024</v>
      </c>
      <c r="G55" s="43" t="str">
        <f aca="false">CONCATENATE(A55," | ",VLOOKUP(A55,Dataset!$A:$O,2,0))</f>
        <v>BUG-016 | Beta</v>
      </c>
    </row>
    <row r="56" customFormat="false" ht="18" hidden="false" customHeight="true" outlineLevel="0" collapsed="false">
      <c r="A56" s="2" t="s">
        <v>71</v>
      </c>
      <c r="B56" s="4" t="str">
        <f aca="false">VLOOKUP(A56,Dataset!$A:$O,1,0)</f>
        <v>BUG-017</v>
      </c>
      <c r="C56" s="12" t="str">
        <f aca="false">SUBSTITUTE(B56,"BUG","DEF")</f>
        <v>DEF-017</v>
      </c>
      <c r="D56" s="4" t="n">
        <f aca="false">VLOOKUP(A56,Dataset!$A:$O,11,0)</f>
        <v>8</v>
      </c>
      <c r="E56" s="14" t="str">
        <f aca="false">DOLLAR(D56,2)</f>
        <v>$8.00</v>
      </c>
      <c r="F56" s="16" t="str">
        <f aca="false">TEXT(VLOOKUP(A56,Dataset!$A:$O,8,0),"DD-MMM-YYYY")</f>
        <v>21-Jan-2024</v>
      </c>
      <c r="G56" s="37" t="str">
        <f aca="false">CONCATENATE(A56," | ",VLOOKUP(A56,Dataset!$A:$O,2,0))</f>
        <v>BUG-017 | Gamma</v>
      </c>
    </row>
    <row r="57" customFormat="false" ht="18" hidden="false" customHeight="true" outlineLevel="0" collapsed="false">
      <c r="A57" s="6" t="s">
        <v>73</v>
      </c>
      <c r="B57" s="8" t="str">
        <f aca="false">VLOOKUP(A57,Dataset!$A:$O,1,0)</f>
        <v>BUG-018</v>
      </c>
      <c r="C57" s="13" t="str">
        <f aca="false">SUBSTITUTE(B57,"BUG","DEF")</f>
        <v>DEF-018</v>
      </c>
      <c r="D57" s="8" t="n">
        <f aca="false">VLOOKUP(A57,Dataset!$A:$O,11,0)</f>
        <v>7</v>
      </c>
      <c r="E57" s="15" t="str">
        <f aca="false">DOLLAR(D57,2)</f>
        <v>$7.00</v>
      </c>
      <c r="F57" s="17" t="str">
        <f aca="false">TEXT(VLOOKUP(A57,Dataset!$A:$O,8,0),"DD-MMM-YYYY")</f>
        <v>22-Jan-2024</v>
      </c>
      <c r="G57" s="43" t="str">
        <f aca="false">CONCATENATE(A57," | ",VLOOKUP(A57,Dataset!$A:$O,2,0))</f>
        <v>BUG-018 | Alpha</v>
      </c>
    </row>
    <row r="58" customFormat="false" ht="18" hidden="false" customHeight="true" outlineLevel="0" collapsed="false">
      <c r="A58" s="2" t="s">
        <v>75</v>
      </c>
      <c r="B58" s="4" t="str">
        <f aca="false">VLOOKUP(A58,Dataset!$A:$O,1,0)</f>
        <v>BUG-019</v>
      </c>
      <c r="C58" s="12" t="str">
        <f aca="false">SUBSTITUTE(B58,"BUG","DEF")</f>
        <v>DEF-019</v>
      </c>
      <c r="D58" s="4" t="n">
        <f aca="false">VLOOKUP(A58,Dataset!$A:$O,11,0)</f>
        <v>3</v>
      </c>
      <c r="E58" s="14" t="str">
        <f aca="false">DOLLAR(D58,2)</f>
        <v>$3.00</v>
      </c>
      <c r="F58" s="16" t="str">
        <f aca="false">TEXT(VLOOKUP(A58,Dataset!$A:$O,8,0),"DD-MMM-YYYY")</f>
        <v>23-Jan-2024</v>
      </c>
      <c r="G58" s="37" t="str">
        <f aca="false">CONCATENATE(A58," | ",VLOOKUP(A58,Dataset!$A:$O,2,0))</f>
        <v>BUG-019 | Beta</v>
      </c>
    </row>
    <row r="59" customFormat="false" ht="18" hidden="false" customHeight="true" outlineLevel="0" collapsed="false">
      <c r="A59" s="6" t="s">
        <v>77</v>
      </c>
      <c r="B59" s="8" t="str">
        <f aca="false">VLOOKUP(A59,Dataset!$A:$O,1,0)</f>
        <v>BUG-020</v>
      </c>
      <c r="C59" s="13" t="str">
        <f aca="false">SUBSTITUTE(B59,"BUG","DEF")</f>
        <v>DEF-020</v>
      </c>
      <c r="D59" s="8" t="n">
        <f aca="false">VLOOKUP(A59,Dataset!$A:$O,11,0)</f>
        <v>1</v>
      </c>
      <c r="E59" s="15" t="str">
        <f aca="false">DOLLAR(D59,2)</f>
        <v>$1.00</v>
      </c>
      <c r="F59" s="17" t="str">
        <f aca="false">TEXT(VLOOKUP(A59,Dataset!$A:$O,8,0),"DD-MMM-YYYY")</f>
        <v>24-Jan-2024</v>
      </c>
      <c r="G59" s="43" t="str">
        <f aca="false">CONCATENATE(A59," | ",VLOOKUP(A59,Dataset!$A:$O,2,0))</f>
        <v>BUG-020 | Gamma</v>
      </c>
    </row>
    <row r="61" customFormat="false" ht="21.75" hidden="false" customHeight="true" outlineLevel="0" collapsed="false">
      <c r="A61" s="11" t="s">
        <v>157</v>
      </c>
      <c r="B61" s="11"/>
      <c r="C61" s="11"/>
      <c r="D61" s="11"/>
      <c r="E61" s="11"/>
      <c r="F61" s="11"/>
    </row>
    <row r="62" customFormat="false" ht="30" hidden="false" customHeight="true" outlineLevel="0" collapsed="false">
      <c r="A62" s="24" t="s">
        <v>158</v>
      </c>
      <c r="B62" s="24"/>
      <c r="C62" s="24"/>
      <c r="D62" s="24"/>
      <c r="E62" s="24"/>
      <c r="F62" s="24"/>
    </row>
    <row r="63" customFormat="false" ht="14.25" hidden="false" customHeight="false" outlineLevel="0" collapsed="false">
      <c r="A63" s="1" t="s">
        <v>159</v>
      </c>
      <c r="B63" s="1" t="s">
        <v>160</v>
      </c>
      <c r="C63" s="1" t="s">
        <v>161</v>
      </c>
      <c r="D63" s="1" t="s">
        <v>162</v>
      </c>
    </row>
    <row r="64" customFormat="false" ht="14.25" hidden="false" customHeight="false" outlineLevel="0" collapsed="false">
      <c r="A64" s="47" t="n">
        <f aca="true">TODAY()</f>
        <v>46192</v>
      </c>
      <c r="B64" s="48" t="s">
        <v>163</v>
      </c>
      <c r="C64" s="12" t="str">
        <f aca="false">TEXT(A64,"DD-MMM-YYYY")</f>
        <v>19-Jun-2026</v>
      </c>
      <c r="D64" s="5" t="s">
        <v>164</v>
      </c>
    </row>
    <row r="65" customFormat="false" ht="14.25" hidden="false" customHeight="false" outlineLevel="0" collapsed="false">
      <c r="A65" s="49" t="n">
        <f aca="true">TODAY()</f>
        <v>46192</v>
      </c>
      <c r="B65" s="50" t="s">
        <v>165</v>
      </c>
      <c r="C65" s="13" t="str">
        <f aca="false">TEXT(A65,"MMMM YYYY")</f>
        <v>June 2026</v>
      </c>
      <c r="D65" s="9" t="s">
        <v>166</v>
      </c>
    </row>
    <row r="66" customFormat="false" ht="14.25" hidden="false" customHeight="false" outlineLevel="0" collapsed="false">
      <c r="A66" s="47" t="n">
        <f aca="true">TODAY()</f>
        <v>46192</v>
      </c>
      <c r="B66" s="48" t="s">
        <v>167</v>
      </c>
      <c r="C66" s="12" t="str">
        <f aca="false">TEXT(A66,"DDD")</f>
        <v>Fri</v>
      </c>
      <c r="D66" s="5" t="s">
        <v>168</v>
      </c>
    </row>
    <row r="67" customFormat="false" ht="14.25" hidden="false" customHeight="false" outlineLevel="0" collapsed="false">
      <c r="A67" s="6" t="n">
        <v>8</v>
      </c>
      <c r="B67" s="50" t="s">
        <v>169</v>
      </c>
      <c r="C67" s="13" t="str">
        <f aca="false">TEXT(A67,"$#,##0.00")</f>
        <v>$8.00</v>
      </c>
      <c r="D67" s="9" t="s">
        <v>170</v>
      </c>
    </row>
    <row r="68" customFormat="false" ht="14.25" hidden="false" customHeight="false" outlineLevel="0" collapsed="false">
      <c r="A68" s="2" t="n">
        <v>0.876</v>
      </c>
      <c r="B68" s="48" t="s">
        <v>171</v>
      </c>
      <c r="C68" s="12" t="str">
        <f aca="false">TEXT(A68,"0.0%")</f>
        <v>87.6%</v>
      </c>
      <c r="D68" s="5" t="s">
        <v>172</v>
      </c>
    </row>
    <row r="69" customFormat="false" ht="14.25" hidden="false" customHeight="false" outlineLevel="0" collapsed="false">
      <c r="A69" s="6" t="n">
        <v>12345</v>
      </c>
      <c r="B69" s="50" t="s">
        <v>173</v>
      </c>
      <c r="C69" s="13" t="str">
        <f aca="false">TEXT(A69,"#,##0")</f>
        <v>12,345</v>
      </c>
      <c r="D69" s="9" t="s">
        <v>174</v>
      </c>
    </row>
    <row r="70" customFormat="false" ht="14.25" hidden="false" customHeight="false" outlineLevel="0" collapsed="false">
      <c r="A70" s="47" t="n">
        <f aca="false">DATE(2024,1,5)</f>
        <v>45296</v>
      </c>
      <c r="B70" s="48" t="s">
        <v>175</v>
      </c>
      <c r="C70" s="12" t="str">
        <f aca="false">TEXT(A70,"YYYY-MM-DD")</f>
        <v>2024-01-05</v>
      </c>
      <c r="D70" s="5" t="s">
        <v>176</v>
      </c>
    </row>
  </sheetData>
  <mergeCells count="6">
    <mergeCell ref="A1:I1"/>
    <mergeCell ref="A2:G2"/>
    <mergeCell ref="A25:G25"/>
    <mergeCell ref="A38:G38"/>
    <mergeCell ref="A61:F61"/>
    <mergeCell ref="A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2026-06-09T03:52:13Z</dcterms:created>
  <dc:creator>openpyxl</dc:creator>
  <dc:description/>
  <dc:language>en-US</dc:language>
  <cp:lastModifiedBy>Benita A</cp:lastModifiedBy>
  <dcterms:modified xsi:type="dcterms:W3CDTF">2026-06-19T09:12:49Z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